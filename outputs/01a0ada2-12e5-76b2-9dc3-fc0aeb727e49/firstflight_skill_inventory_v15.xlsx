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51a82186d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总览" sheetId="1" r:id="R42984af05b0d4d5c"/>
    <x:sheet xmlns:r="http://schemas.openxmlformats.org/officeDocument/2006/relationships" name="Skill清单" sheetId="2" r:id="R9b7b663cafc14aa4"/>
    <x:sheet xmlns:r="http://schemas.openxmlformats.org/officeDocument/2006/relationships" name="Agent装配矩阵" sheetId="3" r:id="R38744a3dfef94d39"/>
    <x:sheet xmlns:r="http://schemas.openxmlformats.org/officeDocument/2006/relationships" name="治理与准入" sheetId="4" r:id="R1527f7a55d76499a"/>
    <x:sheet xmlns:r="http://schemas.openxmlformats.org/officeDocument/2006/relationships" name="外部候选" sheetId="5" r:id="Ra790fa3cc0f34a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7">
    <x:font>
      <x:sz val="11"/>
      <x:name val="Carlito"/>
    </x:font>
    <x:font>
      <x:b/>
      <x:sz val="16"/>
      <x:color rgb="FF17365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b/>
      <x:sz val="14"/>
      <x:color rgb="FF1F4E78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bottom style="medium">
        <x:color rgb="FF5B9BD5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left style="thin">
        <x:color rgb="FFB4C7E7"/>
      </x:left>
      <x:right style="thin">
        <x:color rgb="FFFFFFFF"/>
      </x:right>
      <x:top style="thin">
        <x:color rgb="FFB4C7E7"/>
      </x:top>
      <x:bottom style="medium">
        <x:color rgb="FF17365D"/>
      </x:bottom>
    </x:border>
    <x:border>
      <x:left style="thin">
        <x:color rgb="FFFFFFFF"/>
      </x:left>
      <x:right style="thin">
        <x:color rgb="FFB4C7E7"/>
      </x:right>
      <x:top style="thin">
        <x:color rgb="FFB4C7E7"/>
      </x:top>
      <x:bottom style="medium">
        <x:color rgb="FF17365D"/>
      </x:bottom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/>
    <x:xf numFmtId="0" fontId="5" fillId="0" borderId="7" xfId="0" applyNumberFormat="1" applyFont="1" applyFill="1" applyBorder="1"/>
    <x:xf numFmtId="0" fontId="4" fillId="0" borderId="8" xfId="0" applyNumberFormat="1" applyFont="1" applyFill="1" applyBorder="1"/>
    <x:xf numFmtId="0" fontId="5" fillId="0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60497A"/>
      </x:font>
      <x:fill>
        <x:patternFill patternType="solid">
          <x:bgColor rgb="FFE4DFE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60497A"/>
      </x:font>
      <x:fill>
        <x:patternFill patternType="solid">
          <x:bgColor rgb="FFE4DFE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9A67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60497A"/>
      </x:font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85ac4b622436d" /><Relationship Type="http://schemas.openxmlformats.org/officeDocument/2006/relationships/theme" Target="/xl/theme/theme1.xml" Id="Rcd9396eba9994aa8" /><Relationship Type="http://schemas.openxmlformats.org/officeDocument/2006/relationships/sharedStrings" Target="/xl/sharedStrings.xml" Id="R4cf5245e27c243e0" /><Relationship Type="http://schemas.openxmlformats.org/officeDocument/2006/relationships/worksheet" Target="/xl/worksheets/sheet1.xml" Id="R42984af05b0d4d5c" /><Relationship Type="http://schemas.openxmlformats.org/officeDocument/2006/relationships/worksheet" Target="/xl/worksheets/sheet2.xml" Id="R9b7b663cafc14aa4" /><Relationship Type="http://schemas.openxmlformats.org/officeDocument/2006/relationships/worksheet" Target="/xl/worksheets/sheet3.xml" Id="R38744a3dfef94d39" /><Relationship Type="http://schemas.openxmlformats.org/officeDocument/2006/relationships/worksheet" Target="/xl/worksheets/sheet4.xml" Id="R1527f7a55d76499a" /><Relationship Type="http://schemas.openxmlformats.org/officeDocument/2006/relationships/worksheet" Target="/xl/worksheets/sheet5.xml" Id="Ra790fa3cc0f34a10" /></Relationships>
</file>

<file path=xl/tables/table1.xml><?xml version="1.0" encoding="utf-8"?>
<x:table xmlns:x="http://schemas.openxmlformats.org/spreadsheetml/2006/main" id="1" name="SkillInventoryTable" displayName="SkillInventoryTable" ref="A4:Q50" headerRowCount="1" totalsRowCount="0" totalsRowShown="0">
  <x:autoFilter ref="A4:Q50"/>
  <x:tableColumns count="17">
    <x:tableColumn id="1" name="ID"/>
    <x:tableColumn id="2" name="Skill 名称"/>
    <x:tableColumn id="3" name="中文能力"/>
    <x:tableColumn id="4" name="类型"/>
    <x:tableColumn id="5" name="所属一级板块"/>
    <x:tableColumn id="6" name="所属二级板块"/>
    <x:tableColumn id="7" name="业务阶段 / 触发"/>
    <x:tableColumn id="8" name="核心功能"/>
    <x:tableColumn id="9" name="主要输入"/>
    <x:tableColumn id="10" name="主要输出"/>
    <x:tableColumn id="11" name="绑定 Agent / 角色"/>
    <x:tableColumn id="12" name="当前状态"/>
    <x:tableColumn id="13" name="自主性边界"/>
    <x:tableColumn id="14" name="配对 / 依赖"/>
    <x:tableColumn id="15" name="验收证据"/>
    <x:tableColumn id="16" name="来源 / 工程定位"/>
    <x:tableColumn id="1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AssemblyTable" displayName="AgentAssemblyTable" ref="A4:F16" headerRowCount="1" totalsRowCount="0" totalsRowShown="0">
  <x:autoFilter ref="A4:F16"/>
  <x:tableColumns count="6">
    <x:tableColumn id="1" name="Agent / 角色"/>
    <x:tableColumn id="2" name="触发阶段"/>
    <x:tableColumn id="3" name="固定 Skill 组合"/>
    <x:tableColumn id="4" name="主要产物"/>
    <x:tableColumn id="5" name="禁止动作 / 边界"/>
    <x:tableColumn id="6" name="准出门禁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killGovernanceTable" displayName="SkillGovernanceTable" ref="A4:E29" headerRowCount="1" totalsRowCount="0" totalsRowShown="0">
  <x:autoFilter ref="A4:E29"/>
  <x:tableColumns count="5">
    <x:tableColumn id="1" name="规则"/>
    <x:tableColumn id="2" name="机制 / 依据"/>
    <x:tableColumn id="3" name="要求"/>
    <x:tableColumn id="4" name="阻断或验收"/>
    <x:tableColumn id="5" name="当前状态"/>
  </x:tableColumns>
  <x:tableStyleInfo name="TableStyleMedium15" showFirstColumn="0" showLastColumn="0" showRowStripes="1" showColumnStripes="0"/>
</x:table>
</file>

<file path=xl/tables/table4.xml><?xml version="1.0" encoding="utf-8"?>
<x:table xmlns:x="http://schemas.openxmlformats.org/spreadsheetml/2006/main" id="4" name="ExternalCandidateTable" displayName="ExternalCandidateTable" ref="A4:H8" headerRowCount="1" totalsRowCount="0" totalsRowShown="0">
  <x:autoFilter ref="A4:H8"/>
  <x:tableColumns count="8">
    <x:tableColumn id="1" name="仓库 / 来源"/>
    <x:tableColumn id="2" name="URL"/>
    <x:tableColumn id="3" name="星数快照（约）"/>
    <x:tableColumn id="4" name="快照日期"/>
    <x:tableColumn id="5" name="性质"/>
    <x:tableColumn id="6" name="导图点名能力"/>
    <x:tableColumn id="7" name="适用判断"/>
    <x:tableColumn id="8" name="准入状态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34c1023fe844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70ac70920047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d94889fbe048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f584ef21ee435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58" hidden="0" customWidth="1"/>
    <x:col min="3" max="3" width="3" hidden="0" customWidth="1"/>
    <x:col min="4" max="4" width="24" hidden="0" customWidth="1"/>
    <x:col min="5" max="5" width="10" hidden="0" customWidth="1"/>
    <x:col min="6" max="6" width="3" hidden="0" customWidth="1"/>
    <x:col min="7" max="7" width="29" hidden="0" customWidth="1"/>
    <x:col min="8" max="8" width="10" hidden="0" customWidth="1"/>
  </x:cols>
  <x:sheetData>
    <x:row r="1" ht="20" customHeight="1"/>
    <x:row r="2" ht="28" customHeight="1">
      <x:c r="A2" s="2" t="str">
        <x:v>firstFlight Skill 全量清单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4" t="str">
        <x:v>来源：firstflight_mindmap_v15.html（2026-09-17 快照）。统计口径包含明确命名Skill、待命名能力、平台能力以及导图列出的外部候选。</x:v>
      </x:c>
    </x:row>
    <x:row r="4" ht="20" customHeight="1"/>
    <x:row r="5" ht="20" customHeight="1">
      <x:c r="A5" s="14" t="str">
        <x:v>指标</x:v>
      </x:c>
      <x:c r="B5" s="15" t="str">
        <x:v>数量</x:v>
      </x:c>
    </x:row>
    <x:row r="6" ht="20" customHeight="1">
      <x:c r="A6" s="16" t="str">
        <x:v>Skill条目总数</x:v>
      </x:c>
      <x:c r="B6" s="17" t="n">
        <x:f>COUNTA('Skill清单'!$B$5:$B$200)</x:f>
        <x:v>46</x:v>
      </x:c>
    </x:row>
    <x:row r="7" ht="20" customHeight="1">
      <x:c r="A7" s="16" t="str">
        <x:v>已实现或部分实现</x:v>
      </x:c>
      <x:c r="B7" s="17" t="n">
        <x:f>COUNTIFS('Skill清单'!$L$5:$L$200,"已实现")+COUNTIFS('Skill清单'!$L$5:$L$200,"部分实现")</x:f>
        <x:v>20</x:v>
      </x:c>
    </x:row>
    <x:row r="8" ht="20" customHeight="1">
      <x:c r="A8" s="18" t="str">
        <x:v>规划与外部候选</x:v>
      </x:c>
      <x:c r="B8" s="19" t="n">
        <x:f>COUNTIFS('Skill清单'!$L$5:$L$200,"规划")+COUNTIFS('Skill清单'!$L$5:$L$200,"外部候选")</x:f>
        <x:v>26</x:v>
      </x:c>
    </x:row>
    <x:row r="9" ht="20" customHeight="1"/>
    <x:row r="10" ht="20" customHeight="1"/>
    <x:row r="11" ht="20" customHeight="1">
      <x:c r="A11" s="10" t="str">
        <x:v>当前状态</x:v>
      </x:c>
      <x:c r="B11" s="11" t="str">
        <x:v>数量</x:v>
      </x:c>
      <x:c r="D11" s="10" t="str">
        <x:v>所属二级板块</x:v>
      </x:c>
      <x:c r="E11" s="11" t="str">
        <x:v>数量</x:v>
      </x:c>
      <x:c r="G11" s="10" t="str">
        <x:v>类型</x:v>
      </x:c>
      <x:c r="H11" s="11" t="str">
        <x:v>数量</x:v>
      </x:c>
    </x:row>
    <x:row r="12" ht="20" customHeight="1">
      <x:c r="A12" t="str">
        <x:v>已实现</x:v>
      </x:c>
      <x:c r="B12" t="n">
        <x:f>COUNTIFS('Skill清单'!$L$5:$L$200,A12)</x:f>
        <x:v>8</x:v>
      </x:c>
      <x:c r="D12" t="str">
        <x:v>系统能力包</x:v>
      </x:c>
      <x:c r="E12" t="n">
        <x:f>COUNTIFS('Skill清单'!$F$5:$F$200,D12)</x:f>
        <x:v>6</x:v>
      </x:c>
      <x:c r="G12" t="str">
        <x:v>系统 Skill</x:v>
      </x:c>
      <x:c r="H12" t="n">
        <x:f>COUNTIFS('Skill清单'!$D$5:$D$200,G12)</x:f>
        <x:v>6</x:v>
      </x:c>
    </x:row>
    <x:row r="13" ht="20" customHeight="1">
      <x:c r="A13" t="str">
        <x:v>部分实现</x:v>
      </x:c>
      <x:c r="B13" t="n">
        <x:f>COUNTIFS('Skill清单'!$L$5:$L$200,A13)</x:f>
        <x:v>12</x:v>
      </x:c>
      <x:c r="D13" t="str">
        <x:v>图表与可视化</x:v>
      </x:c>
      <x:c r="E13" t="n">
        <x:f>COUNTIFS('Skill清单'!$F$5:$F$200,D13)</x:f>
        <x:v>5</x:v>
      </x:c>
      <x:c r="G13" t="str">
        <x:v>项目内 Skill</x:v>
      </x:c>
      <x:c r="H13" t="n">
        <x:f>COUNTIFS('Skill清单'!$D$5:$D$200,G13)</x:f>
        <x:v>8</x:v>
      </x:c>
    </x:row>
    <x:row r="14" ht="20" customHeight="1">
      <x:c r="A14" t="str">
        <x:v>规划</x:v>
      </x:c>
      <x:c r="B14" t="n">
        <x:f>COUNTIFS('Skill清单'!$L$5:$L$200,A14)</x:f>
        <x:v>19</x:v>
      </x:c>
      <x:c r="D14" t="str">
        <x:v>文档与原型</x:v>
      </x:c>
      <x:c r="E14" t="n">
        <x:f>COUNTIFS('Skill清单'!$F$5:$F$200,D14)</x:f>
        <x:v>4</x:v>
      </x:c>
      <x:c r="G14" t="str">
        <x:v>项目内规划 Skill</x:v>
      </x:c>
      <x:c r="H14" t="n">
        <x:f>COUNTIFS('Skill清单'!$D$5:$D$200,G14)</x:f>
        <x:v>8</x:v>
      </x:c>
    </x:row>
    <x:row r="15" ht="20" customHeight="1">
      <x:c r="A15" t="str">
        <x:v>外部候选</x:v>
      </x:c>
      <x:c r="B15" t="n">
        <x:f>COUNTIFS('Skill清单'!$L$5:$L$200,A15)</x:f>
        <x:v>7</x:v>
      </x:c>
      <x:c r="D15" t="str">
        <x:v>编排与选型</x:v>
      </x:c>
      <x:c r="E15" t="n">
        <x:f>COUNTIFS('Skill清单'!$F$5:$F$200,D15)</x:f>
        <x:v>2</x:v>
      </x:c>
      <x:c r="G15" t="str">
        <x:v>编排 Skill</x:v>
      </x:c>
      <x:c r="H15" t="n">
        <x:f>COUNTIFS('Skill清单'!$D$5:$D$200,G15)</x:f>
        <x:v>1</x:v>
      </x:c>
    </x:row>
    <x:row r="16" ht="20" customHeight="1">
      <x:c r="D16" t="str">
        <x:v>PRD生成与审查</x:v>
      </x:c>
      <x:c r="E16" t="n">
        <x:f>COUNTIFS('Skill清单'!$F$5:$F$200,D16)</x:f>
        <x:v>4</x:v>
      </x:c>
      <x:c r="G16" t="str">
        <x:v>低阶Agent Skill</x:v>
      </x:c>
      <x:c r="H16" t="n">
        <x:f>COUNTIFS('Skill清单'!$D$5:$D$200,G16)</x:f>
        <x:v>11</x:v>
      </x:c>
    </x:row>
    <x:row r="17" ht="20" customHeight="1">
      <x:c r="D17" t="str">
        <x:v>架构与一致性</x:v>
      </x:c>
      <x:c r="E17" t="n">
        <x:f>COUNTIFS('Skill清单'!$F$5:$F$200,D17)</x:f>
        <x:v>3</x:v>
      </x:c>
      <x:c r="G17" t="str">
        <x:v>待命名 Skill</x:v>
      </x:c>
      <x:c r="H17" t="n">
        <x:f>COUNTIFS('Skill清单'!$D$5:$D$200,G17)</x:f>
        <x:v>3</x:v>
      </x:c>
    </x:row>
    <x:row r="18" ht="20" customHeight="1">
      <x:c r="D18" t="str">
        <x:v>拆解验收追溯</x:v>
      </x:c>
      <x:c r="E18" t="n">
        <x:f>COUNTIFS('Skill清单'!$F$5:$F$200,D18)</x:f>
        <x:v>4</x:v>
      </x:c>
      <x:c r="G18" t="str">
        <x:v>平台能力（非独立Skill）</x:v>
      </x:c>
      <x:c r="H18" t="n">
        <x:f>COUNTIFS('Skill清单'!$D$5:$D$200,G18)</x:f>
        <x:v>1</x:v>
      </x:c>
    </x:row>
    <x:row r="19" ht="20" customHeight="1">
      <x:c r="D19" t="str">
        <x:v>编码交付</x:v>
      </x:c>
      <x:c r="E19" t="n">
        <x:f>COUNTIFS('Skill清单'!$F$5:$F$200,D19)</x:f>
        <x:v>11</x:v>
      </x:c>
      <x:c r="G19" t="str">
        <x:v>确定性规则能力</x:v>
      </x:c>
      <x:c r="H19" t="n">
        <x:f>COUNTIFS('Skill清单'!$D$5:$D$200,G19)</x:f>
        <x:v>1</x:v>
      </x:c>
    </x:row>
    <x:row r="20" ht="20" customHeight="1">
      <x:c r="D20" t="str">
        <x:v>外部候选</x:v>
      </x:c>
      <x:c r="E20" t="n">
        <x:f>COUNTIFS('Skill清单'!$F$5:$F$200,D20)</x:f>
        <x:v>7</x:v>
      </x:c>
      <x:c r="G20" t="str">
        <x:v>外部候选 Skill</x:v>
      </x:c>
      <x:c r="H20" t="n">
        <x:f>COUNTIFS('Skill清单'!$D$5:$D$200,G20)</x:f>
        <x:v>7</x:v>
      </x:c>
    </x:row>
    <x:row r="21" ht="20" customHeight="1"/>
    <x:row r="22" ht="20" customHeight="1">
      <x:c r="A22" s="10" t="str">
        <x:v>使用说明</x:v>
      </x:c>
      <x:c r="B22" s="11" t="str">
        <x:v>内容</x:v>
      </x:c>
      <x:c r="C22"/>
      <x:c r="D22"/>
      <x:c r="E22"/>
      <x:c r="F22"/>
      <x:c r="G22"/>
      <x:c r="H22"/>
      <x:c r="I22"/>
      <x:c r="J22"/>
    </x:row>
    <x:row r="23" ht="34" customHeight="1">
      <x:c r="A23" s="12" t="str">
        <x:v>主清单</x:v>
      </x:c>
      <x:c r="B23" s="20" t="str">
        <x:v>Skill清单可按板块、角色、状态和类型筛选；每行都给出输入、输出、边界和验收证据。</x:v>
      </x:c>
      <x:c r="C23"/>
      <x:c r="D23"/>
      <x:c r="E23"/>
      <x:c r="F23"/>
      <x:c r="G23"/>
      <x:c r="H23"/>
      <x:c r="I23"/>
      <x:c r="J23"/>
    </x:row>
    <x:row r="24" ht="34" customHeight="1">
      <x:c r="A24" s="12" t="str">
        <x:v>装配关系</x:v>
      </x:c>
      <x:c r="B24" s="20" t="str">
        <x:v>Agent装配矩阵展示作者、异议方、Coder、Test、Review、Repair和Integrator的固定Skill组合。</x:v>
      </x:c>
      <x:c r="C24"/>
      <x:c r="D24"/>
      <x:c r="E24"/>
      <x:c r="F24"/>
      <x:c r="G24"/>
      <x:c r="H24"/>
      <x:c r="I24"/>
      <x:c r="J24"/>
    </x:row>
    <x:row r="25" ht="34" customHeight="1">
      <x:c r="A25" s="12" t="str">
        <x:v>治理口径</x:v>
      </x:c>
      <x:c r="B25" s="20" t="str">
        <x:v>治理与准入不是可调用Skill清单，而是限制Skill和Agent自主性的硬规则与门禁。</x:v>
      </x:c>
      <x:c r="C25"/>
      <x:c r="D25"/>
      <x:c r="E25"/>
      <x:c r="F25"/>
      <x:c r="G25"/>
      <x:c r="H25"/>
      <x:c r="I25"/>
      <x:c r="J25"/>
    </x:row>
    <x:row r="26" ht="34" customHeight="1">
      <x:c r="A26" s="12" t="str">
        <x:v>外部候选</x:v>
      </x:c>
      <x:c r="B26" s="20" t="str">
        <x:v>星数和状态均来自思维导图快照，仅用于发现；候选不等于已安装、已批准或已调用。</x:v>
      </x:c>
      <x:c r="C26"/>
      <x:c r="D26"/>
      <x:c r="E26"/>
      <x:c r="F26"/>
      <x:c r="G26"/>
      <x:c r="H26"/>
      <x:c r="I26"/>
      <x:c r="J26"/>
    </x:row>
    <x:row r="27" ht="20" customHeight="1"/>
    <x:row r="28" ht="20" customHeight="1"/>
    <x:row r="29" ht="20" customHeight="1"/>
    <x:row r="30" ht="20" customHeight="1"/>
  </x:sheetData>
  <x:conditionalFormatting sqref="A12:A15">
    <x:cfRule type="containsText" dxfId="0" priority="1" operator="containsText" text="已实现"/>
    <x:cfRule type="containsText" dxfId="1" priority="2" operator="containsText" text="部分实现"/>
    <x:cfRule type="containsText" dxfId="2" priority="3" operator="containsText" text="规划"/>
    <x:cfRule type="containsText" dxfId="3" priority="4" operator="containsText" text="外部候选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6" hidden="0" customWidth="1"/>
    <x:col min="8" max="8" width="46" hidden="0" customWidth="1"/>
    <x:col min="9" max="9" width="36" hidden="0" customWidth="1"/>
    <x:col min="10" max="10" width="36" hidden="0" customWidth="1"/>
    <x:col min="11" max="11" width="26" hidden="0" customWidth="1"/>
    <x:col min="12" max="12" width="14" hidden="0" customWidth="1"/>
    <x:col min="13" max="13" width="50" hidden="0" customWidth="1"/>
    <x:col min="14" max="14" width="38" hidden="0" customWidth="1"/>
    <x:col min="15" max="15" width="46" hidden="0" customWidth="1"/>
    <x:col min="16" max="16" width="38" hidden="0" customWidth="1"/>
    <x:col min="17" max="17" width="42" hidden="0" customWidth="1"/>
  </x:cols>
  <x:sheetData>
    <x:row r="2">
      <x:c r="A2" s="2" t="str">
        <x:v>Skill清单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4" t="str">
        <x:v>可按状态、板块、类型和绑定角色筛选。状态以思维导图v15与当前工程基础能力为口径。</x:v>
      </x:c>
    </x:row>
    <x:row r="4">
      <x:c r="A4" s="10" t="str">
        <x:v>ID</x:v>
      </x:c>
      <x:c r="B4" s="21" t="str">
        <x:v>Skill 名称</x:v>
      </x:c>
      <x:c r="C4" s="21" t="str">
        <x:v>中文能力</x:v>
      </x:c>
      <x:c r="D4" s="21" t="str">
        <x:v>类型</x:v>
      </x:c>
      <x:c r="E4" s="21" t="str">
        <x:v>所属一级板块</x:v>
      </x:c>
      <x:c r="F4" s="21" t="str">
        <x:v>所属二级板块</x:v>
      </x:c>
      <x:c r="G4" s="21" t="str">
        <x:v>业务阶段 / 触发</x:v>
      </x:c>
      <x:c r="H4" s="21" t="str">
        <x:v>核心功能</x:v>
      </x:c>
      <x:c r="I4" s="21" t="str">
        <x:v>主要输入</x:v>
      </x:c>
      <x:c r="J4" s="21" t="str">
        <x:v>主要输出</x:v>
      </x:c>
      <x:c r="K4" s="21" t="str">
        <x:v>绑定 Agent / 角色</x:v>
      </x:c>
      <x:c r="L4" s="21" t="str">
        <x:v>当前状态</x:v>
      </x:c>
      <x:c r="M4" s="21" t="str">
        <x:v>自主性边界</x:v>
      </x:c>
      <x:c r="N4" s="21" t="str">
        <x:v>配对 / 依赖</x:v>
      </x:c>
      <x:c r="O4" s="21" t="str">
        <x:v>验收证据</x:v>
      </x:c>
      <x:c r="P4" s="21" t="str">
        <x:v>来源 / 工程定位</x:v>
      </x:c>
      <x:c r="Q4" s="11" t="str">
        <x:v>备注</x:v>
      </x:c>
    </x:row>
    <x:row r="5" ht="54" customHeight="1">
      <x:c r="A5" s="26" t="str">
        <x:v>SK-001</x:v>
      </x:c>
      <x:c r="B5" s="27" t="str">
        <x:v>imagegen</x:v>
      </x:c>
      <x:c r="C5" s="27" t="str">
        <x:v>图像生成与编辑</x:v>
      </x:c>
      <x:c r="D5" s="27" t="str">
        <x:v>系统 Skill</x:v>
      </x:c>
      <x:c r="E5" s="27" t="str">
        <x:v>④ Agent 能力与执行交付</x:v>
      </x:c>
      <x:c r="F5" s="27" t="str">
        <x:v>系统能力包</x:v>
      </x:c>
      <x:c r="G5" s="27" t="str">
        <x:v>按需：需要位图生成或编辑</x:v>
      </x:c>
      <x:c r="H5" s="27" t="str">
        <x:v>生成或编辑照片、插画、纹理、原型视觉素材</x:v>
      </x:c>
      <x:c r="I5" s="27" t="str">
        <x:v>视觉需求、参考图、编辑指令</x:v>
      </x:c>
      <x:c r="J5" s="27" t="str">
        <x:v>图片文件或图像结果</x:v>
      </x:c>
      <x:c r="K5" s="27" t="str">
        <x:v>内容/设计 Agent</x:v>
      </x:c>
      <x:c r="L5" s="26" t="str">
        <x:v>已实现</x:v>
      </x:c>
      <x:c r="M5" s="27" t="str">
        <x:v>仅处理授权图片；不得替代代码原生矢量或既有图标体系</x:v>
      </x:c>
      <x:c r="N5" s="27" t="str">
        <x:v>可与 document-asset-skill 组合</x:v>
      </x:c>
      <x:c r="O5" s="27" t="str">
        <x:v>输出文件可打开；尺寸、内容和编辑要求符合任务</x:v>
      </x:c>
      <x:c r="P5" s="27" t="str">
        <x:v>backend/skills/.system/</x:v>
      </x:c>
      <x:c r="Q5" s="27" t="str">
        <x:v>思维导图标注为网关已可用</x:v>
      </x:c>
    </x:row>
    <x:row r="6" ht="54" customHeight="1">
      <x:c r="A6" s="26" t="str">
        <x:v>SK-002</x:v>
      </x:c>
      <x:c r="B6" s="27" t="str">
        <x:v>openai-docs</x:v>
      </x:c>
      <x:c r="C6" s="27" t="str">
        <x:v>OpenAI 官方文档检索</x:v>
      </x:c>
      <x:c r="D6" s="27" t="str">
        <x:v>系统 Skill</x:v>
      </x:c>
      <x:c r="E6" s="27" t="str">
        <x:v>④ Agent 能力与执行交付</x:v>
      </x:c>
      <x:c r="F6" s="27" t="str">
        <x:v>系统能力包</x:v>
      </x:c>
      <x:c r="G6" s="27" t="str">
        <x:v>涉及 Codex、OpenAI API、模型或官方能力时</x:v>
      </x:c>
      <x:c r="H6" s="27" t="str">
        <x:v>只基于官方资料检索产品、API、模型、配置与故障排查信息</x:v>
      </x:c>
      <x:c r="I6" s="27" t="str">
        <x:v>明确问题、产品范围</x:v>
      </x:c>
      <x:c r="J6" s="27" t="str">
        <x:v>带官方出处的结论</x:v>
      </x:c>
      <x:c r="K6" s="27" t="str">
        <x:v>研究/架构 Agent</x:v>
      </x:c>
      <x:c r="L6" s="26" t="str">
        <x:v>已实现</x:v>
      </x:c>
      <x:c r="M6" s="27" t="str">
        <x:v>限定官方来源；不可用旧记忆代替可核验文档</x:v>
      </x:c>
      <x:c r="N6" s="27" t="str">
        <x:v>可为 plugin-creator、skill-creator 提供规范依据</x:v>
      </x:c>
      <x:c r="O6" s="27" t="str">
        <x:v>结论可追溯到官方文档，版本与限制明确</x:v>
      </x:c>
      <x:c r="P6" s="27" t="str">
        <x:v>backend/skills/.system/</x:v>
      </x:c>
      <x:c r="Q6" s="27" t="str">
        <x:v>网关已可用</x:v>
      </x:c>
    </x:row>
    <x:row r="7" ht="54" customHeight="1">
      <x:c r="A7" s="26" t="str">
        <x:v>SK-003</x:v>
      </x:c>
      <x:c r="B7" s="27" t="str">
        <x:v>plugin-creator</x:v>
      </x:c>
      <x:c r="C7" s="27" t="str">
        <x:v>插件创建与市场条目</x:v>
      </x:c>
      <x:c r="D7" s="27" t="str">
        <x:v>系统 Skill</x:v>
      </x:c>
      <x:c r="E7" s="27" t="str">
        <x:v>④ Agent 能力与执行交付</x:v>
      </x:c>
      <x:c r="F7" s="27" t="str">
        <x:v>系统能力包</x:v>
      </x:c>
      <x:c r="G7" s="27" t="str">
        <x:v>需要新建或更新 Codex 插件时</x:v>
      </x:c>
      <x:c r="H7" s="27" t="str">
        <x:v>生成插件目录、manifest、可选能力结构与市场元数据</x:v>
      </x:c>
      <x:c r="I7" s="27" t="str">
        <x:v>插件目标、能力清单、发布范围</x:v>
      </x:c>
      <x:c r="J7" s="27" t="str">
        <x:v>可校验的插件骨架与 manifest</x:v>
      </x:c>
      <x:c r="K7" s="27" t="str">
        <x:v>平台/集成 Agent</x:v>
      </x:c>
      <x:c r="L7" s="26" t="str">
        <x:v>已实现</x:v>
      </x:c>
      <x:c r="M7" s="27" t="str">
        <x:v>只能在授权目录创建；不能隐式安装或发布</x:v>
      </x:c>
      <x:c r="N7" s="27" t="str">
        <x:v>依赖 openai-docs；可调用 skill-creator</x:v>
      </x:c>
      <x:c r="O7" s="27" t="str">
        <x:v>manifest 校验通过；目录结构完整；无越权文件</x:v>
      </x:c>
      <x:c r="P7" s="27" t="str">
        <x:v>backend/skills/.system/</x:v>
      </x:c>
      <x:c r="Q7" s="27" t="str">
        <x:v>网关已可用</x:v>
      </x:c>
    </x:row>
    <x:row r="8" ht="54" customHeight="1">
      <x:c r="A8" s="26" t="str">
        <x:v>SK-004</x:v>
      </x:c>
      <x:c r="B8" s="27" t="str">
        <x:v>review-agent</x:v>
      </x:c>
      <x:c r="C8" s="27" t="str">
        <x:v>只读缺陷优先审查</x:v>
      </x:c>
      <x:c r="D8" s="27" t="str">
        <x:v>系统 Skill</x:v>
      </x:c>
      <x:c r="E8" s="27" t="str">
        <x:v>④ Agent 能力与执行交付</x:v>
      </x:c>
      <x:c r="F8" s="27" t="str">
        <x:v>系统能力包</x:v>
      </x:c>
      <x:c r="G8" s="27" t="str">
        <x:v>提交代码、PRD或交付物进入独立评审时</x:v>
      </x:c>
      <x:c r="H8" s="27" t="str">
        <x:v>以缺陷、风险和证据为优先输出结构化审查结果</x:v>
      </x:c>
      <x:c r="I8" s="27" t="str">
        <x:v>待审产物、原始需求、验收规则</x:v>
      </x:c>
      <x:c r="J8" s="27" t="str">
        <x:v>findings、严重度、定位证据与建议</x:v>
      </x:c>
      <x:c r="K8" s="27" t="str">
        <x:v>Review Agent / 异议 Agent</x:v>
      </x:c>
      <x:c r="L8" s="26" t="str">
        <x:v>已实现</x:v>
      </x:c>
      <x:c r="M8" s="27" t="str">
        <x:v>只读；不能修改被审对象、不能自批或关闭缺陷</x:v>
      </x:c>
      <x:c r="N8" s="27" t="str">
        <x:v>与 code-review-skill、prd-critique 形成不同实现路径</x:v>
      </x:c>
      <x:c r="O8" s="27" t="str">
        <x:v>每条 finding 有证据和严重度；无证据不得判定通过</x:v>
      </x:c>
      <x:c r="P8" s="27" t="str">
        <x:v>backend/skills/.system/</x:v>
      </x:c>
      <x:c r="Q8" s="27" t="str">
        <x:v>双 Agent 对抗评审的系统侧实现</x:v>
      </x:c>
    </x:row>
    <x:row r="9" ht="54" customHeight="1">
      <x:c r="A9" s="26" t="str">
        <x:v>SK-005</x:v>
      </x:c>
      <x:c r="B9" s="27" t="str">
        <x:v>skill-creator</x:v>
      </x:c>
      <x:c r="C9" s="27" t="str">
        <x:v>创建或更新 Skill</x:v>
      </x:c>
      <x:c r="D9" s="27" t="str">
        <x:v>系统 Skill</x:v>
      </x:c>
      <x:c r="E9" s="27" t="str">
        <x:v>④ Agent 能力与执行交付</x:v>
      </x:c>
      <x:c r="F9" s="27" t="str">
        <x:v>系统能力包</x:v>
      </x:c>
      <x:c r="G9" s="27" t="str">
        <x:v>明确需要形成可复用 Skill 时</x:v>
      </x:c>
      <x:c r="H9" s="27" t="str">
        <x:v>创建结构化 SKILL.md 及必要脚本、参考资料和模板</x:v>
      </x:c>
      <x:c r="I9" s="27" t="str">
        <x:v>能力目标、边界、输入输出、验收要求</x:v>
      </x:c>
      <x:c r="J9" s="27" t="str">
        <x:v>可读、可执行、可审查的 Skill 包</x:v>
      </x:c>
      <x:c r="K9" s="27" t="str">
        <x:v>平台治理 Agent</x:v>
      </x:c>
      <x:c r="L9" s="26" t="str">
        <x:v>已实现</x:v>
      </x:c>
      <x:c r="M9" s="27" t="str">
        <x:v>不能扩大任务权限；新 Skill 不等于已批准可运行</x:v>
      </x:c>
      <x:c r="N9" s="27" t="str">
        <x:v>需经过 Skill 注册表与评测流程</x:v>
      </x:c>
      <x:c r="O9" s="27" t="str">
        <x:v>结构完整；触发条件清晰；示例与失败路径可验证</x:v>
      </x:c>
      <x:c r="P9" s="27" t="str">
        <x:v>backend/skills/.system/</x:v>
      </x:c>
      <x:c r="Q9" s="27" t="str">
        <x:v>创建完成后仍需准入</x:v>
      </x:c>
    </x:row>
    <x:row r="10" ht="54" customHeight="1">
      <x:c r="A10" s="26" t="str">
        <x:v>SK-006</x:v>
      </x:c>
      <x:c r="B10" s="27" t="str">
        <x:v>skill-installer</x:v>
      </x:c>
      <x:c r="C10" s="27" t="str">
        <x:v>从清单或 GitHub 安装 Skill</x:v>
      </x:c>
      <x:c r="D10" s="27" t="str">
        <x:v>系统 Skill</x:v>
      </x:c>
      <x:c r="E10" s="27" t="str">
        <x:v>④ Agent 能力与执行交付</x:v>
      </x:c>
      <x:c r="F10" s="27" t="str">
        <x:v>系统能力包</x:v>
      </x:c>
      <x:c r="G10" s="27" t="str">
        <x:v>用户明确要求安装已选 Skill 时</x:v>
      </x:c>
      <x:c r="H10" s="27" t="str">
        <x:v>从允许来源获取并安装 Skill</x:v>
      </x:c>
      <x:c r="I10" s="27" t="str">
        <x:v>Skill 标识或仓库路径、授权</x:v>
      </x:c>
      <x:c r="J10" s="27" t="str">
        <x:v>本地安装结果与版本信息</x:v>
      </x:c>
      <x:c r="K10" s="27" t="str">
        <x:v>平台治理 Agent</x:v>
      </x:c>
      <x:c r="L10" s="26" t="str">
        <x:v>已实现</x:v>
      </x:c>
      <x:c r="M10" s="27" t="str">
        <x:v>必须显式授权；生产使用仍需版本锁定、审查和准入</x:v>
      </x:c>
      <x:c r="N10" s="27" t="str">
        <x:v>依赖不可变注册表、checksum 与 staging</x:v>
      </x:c>
      <x:c r="O10" s="27" t="str">
        <x:v>来源、版本、安装路径和校验结果完整</x:v>
      </x:c>
      <x:c r="P10" s="27" t="str">
        <x:v>backend/skills/.system/</x:v>
      </x:c>
      <x:c r="Q10" s="27" t="str">
        <x:v>当前安装能力已具备，供应链硬门禁仍待完善</x:v>
      </x:c>
    </x:row>
    <x:row r="11" ht="54" customHeight="1">
      <x:c r="A11" s="26" t="str">
        <x:v>SK-007</x:v>
      </x:c>
      <x:c r="B11" s="27" t="str">
        <x:v>drawio-skill</x:v>
      </x:c>
      <x:c r="C11" s="27" t="str">
        <x:v>可编辑流程图与ER图</x:v>
      </x:c>
      <x:c r="D11" s="27" t="str">
        <x:v>项目内 Skill</x:v>
      </x:c>
      <x:c r="E11" s="27" t="str">
        <x:v>④ Agent 能力与执行交付</x:v>
      </x:c>
      <x:c r="F11" s="27" t="str">
        <x:v>图表与可视化</x:v>
      </x:c>
      <x:c r="G11" s="27" t="str">
        <x:v>PRD需要ER图、流程图、时序图或状态图时</x:v>
      </x:c>
      <x:c r="H11" s="27" t="str">
        <x:v>生成可继续编辑的 draw.io 图文件并嵌入需求产物</x:v>
      </x:c>
      <x:c r="I11" s="27" t="str">
        <x:v>结构化实体、关系、流程或状态描述</x:v>
      </x:c>
      <x:c r="J11" s="27" t="str">
        <x:v>draw.io 文件、预览图、PRD资源引用</x:v>
      </x:c>
      <x:c r="K11" s="27" t="str">
        <x:v>需求/架构 Agent</x:v>
      </x:c>
      <x:c r="L11" s="26" t="str">
        <x:v>部分实现</x:v>
      </x:c>
      <x:c r="M11" s="27" t="str">
        <x:v>只能表达已确认结构；不得补造业务关系</x:v>
      </x:c>
      <x:c r="N11" s="27" t="str">
        <x:v>受 drawing-skill 调度；可接 document-asset-skill</x:v>
      </x:c>
      <x:c r="O11" s="27" t="str">
        <x:v>图可打开和编辑；节点关系与源需求一致</x:v>
      </x:c>
      <x:c r="P11" s="27" t="str">
        <x:v>backend/skills/drawio-skill</x:v>
      </x:c>
      <x:c r="Q11" s="27" t="str">
        <x:v>导图明确给出工程定位</x:v>
      </x:c>
    </x:row>
    <x:row r="12" ht="54" customHeight="1">
      <x:c r="A12" s="26" t="str">
        <x:v>SK-008</x:v>
      </x:c>
      <x:c r="B12" s="27" t="str">
        <x:v>mermaid-skill</x:v>
      </x:c>
      <x:c r="C12" s="27" t="str">
        <x:v>文本化图表生成</x:v>
      </x:c>
      <x:c r="D12" s="27" t="str">
        <x:v>项目内规划 Skill</x:v>
      </x:c>
      <x:c r="E12" s="27" t="str">
        <x:v>④ Agent 能力与执行交付</x:v>
      </x:c>
      <x:c r="F12" s="27" t="str">
        <x:v>图表与可视化</x:v>
      </x:c>
      <x:c r="G12" s="27" t="str">
        <x:v>需要可版本化、可审查的 diagrams-as-code 时</x:v>
      </x:c>
      <x:c r="H12" s="27" t="str">
        <x:v>将流程、时序、状态和依赖关系转为 Mermaid 源码</x:v>
      </x:c>
      <x:c r="I12" s="27" t="str">
        <x:v>结构化关系、图类型</x:v>
      </x:c>
      <x:c r="J12" s="27" t="str">
        <x:v>Mermaid 源码和渲染结果</x:v>
      </x:c>
      <x:c r="K12" s="27" t="str">
        <x:v>需求/架构 Agent</x:v>
      </x:c>
      <x:c r="L12" s="26" t="str">
        <x:v>规划</x:v>
      </x:c>
      <x:c r="M12" s="27" t="str">
        <x:v>不得用图形省略关键规则；渲染失败必须阻断</x:v>
      </x:c>
      <x:c r="N12" s="27" t="str">
        <x:v>由 drawing-skill 分发</x:v>
      </x:c>
      <x:c r="O12" s="27" t="str">
        <x:v>源码可渲染；与输入关系逐项核对</x:v>
      </x:c>
      <x:c r="P12" s="27" t="str">
        <x:v>规划清单</x:v>
      </x:c>
      <x:c r="Q12" s="27" t="str">
        <x:v>导图中列为规划能力</x:v>
      </x:c>
    </x:row>
    <x:row r="13" ht="54" customHeight="1">
      <x:c r="A13" s="26" t="str">
        <x:v>SK-009</x:v>
      </x:c>
      <x:c r="B13" s="27" t="str">
        <x:v>graphviz-skill</x:v>
      </x:c>
      <x:c r="C13" s="27" t="str">
        <x:v>复杂依赖图自动布局</x:v>
      </x:c>
      <x:c r="D13" s="27" t="str">
        <x:v>项目内规划 Skill</x:v>
      </x:c>
      <x:c r="E13" s="27" t="str">
        <x:v>④ Agent 能力与执行交付</x:v>
      </x:c>
      <x:c r="F13" s="27" t="str">
        <x:v>图表与可视化</x:v>
      </x:c>
      <x:c r="G13" s="27" t="str">
        <x:v>DAG、依赖图或复杂状态关系需要自动布局时</x:v>
      </x:c>
      <x:c r="H13" s="27" t="str">
        <x:v>生成 Graphviz DOT 与可视化结果</x:v>
      </x:c>
      <x:c r="I13" s="27" t="str">
        <x:v>节点、边、方向和分组规则</x:v>
      </x:c>
      <x:c r="J13" s="27" t="str">
        <x:v>DOT 文件、渲染图</x:v>
      </x:c>
      <x:c r="K13" s="27" t="str">
        <x:v>架构/计划 Agent</x:v>
      </x:c>
      <x:c r="L13" s="26" t="str">
        <x:v>规划</x:v>
      </x:c>
      <x:c r="M13" s="27" t="str">
        <x:v>必须保持依赖方向与状态语义；不可自行合并节点</x:v>
      </x:c>
      <x:c r="N13" s="27" t="str">
        <x:v>由 drawing-skill 分发</x:v>
      </x:c>
      <x:c r="O13" s="27" t="str">
        <x:v>DOT 可渲染；无环/有环属性与源数据一致</x:v>
      </x:c>
      <x:c r="P13" s="27" t="str">
        <x:v>规划清单</x:v>
      </x:c>
      <x:c r="Q13" s="27" t="str">
        <x:v>适合复杂自动布局</x:v>
      </x:c>
    </x:row>
    <x:row r="14" ht="54" customHeight="1">
      <x:c r="A14" s="26" t="str">
        <x:v>SK-010</x:v>
      </x:c>
      <x:c r="B14" s="27" t="str">
        <x:v>drawio-架构校验-skill</x:v>
      </x:c>
      <x:c r="C14" s="27" t="str">
        <x:v>架构图结构化校验</x:v>
      </x:c>
      <x:c r="D14" s="27" t="str">
        <x:v>项目内规划 Skill</x:v>
      </x:c>
      <x:c r="E14" s="27" t="str">
        <x:v>④ Agent 能力与执行交付</x:v>
      </x:c>
      <x:c r="F14" s="27" t="str">
        <x:v>图表与可视化</x:v>
      </x:c>
      <x:c r="G14" s="27" t="str">
        <x:v>架构路线、模块、依赖和里程碑形成后</x:v>
      </x:c>
      <x:c r="H14" s="27" t="str">
        <x:v>校验路线、技术、方案、模块、依赖与影响范围是否完整一致</x:v>
      </x:c>
      <x:c r="I14" s="27" t="str">
        <x:v>架构图、PRD、模块清单、依赖</x:v>
      </x:c>
      <x:c r="J14" s="27" t="str">
        <x:v>校验报告与问题清单</x:v>
      </x:c>
      <x:c r="K14" s="27" t="str">
        <x:v>架构 Review Agent</x:v>
      </x:c>
      <x:c r="L14" s="26" t="str">
        <x:v>规划</x:v>
      </x:c>
      <x:c r="M14" s="27" t="str">
        <x:v>只指出不一致和缺口；未经批准不能重写架构</x:v>
      </x:c>
      <x:c r="N14" s="27" t="str">
        <x:v>配对 architecture-design-skill、drawio-skill</x:v>
      </x:c>
      <x:c r="O14" s="27" t="str">
        <x:v>每个问题关联图节点与源需求；可复核</x:v>
      </x:c>
      <x:c r="P14" s="27" t="str">
        <x:v>规划清单</x:v>
      </x:c>
      <x:c r="Q14" s="27" t="str">
        <x:v>名称沿用思维导图</x:v>
      </x:c>
    </x:row>
    <x:row r="15" ht="54" customHeight="1">
      <x:c r="A15" s="26" t="str">
        <x:v>SK-011</x:v>
      </x:c>
      <x:c r="B15" s="27" t="str">
        <x:v>drawing-skill</x:v>
      </x:c>
      <x:c r="C15" s="27" t="str">
        <x:v>图表路由与编排</x:v>
      </x:c>
      <x:c r="D15" s="27" t="str">
        <x:v>编排 Skill</x:v>
      </x:c>
      <x:c r="E15" s="27" t="str">
        <x:v>④ Agent 能力与执行交付</x:v>
      </x:c>
      <x:c r="F15" s="27" t="str">
        <x:v>编排与选型</x:v>
      </x:c>
      <x:c r="G15" s="27" t="str">
        <x:v>上游任务只描述图表目的、尚未指定渲染器时</x:v>
      </x:c>
      <x:c r="H15" s="27" t="str">
        <x:v>按图表类型确定性分发到 Mermaid、Excalidraw、Graphviz 或 draw.io</x:v>
      </x:c>
      <x:c r="I15" s="27" t="str">
        <x:v>图表目的、复杂度、可编辑性要求</x:v>
      </x:c>
      <x:c r="J15" s="27" t="str">
        <x:v>选定的子 Skill、路由原因、执行参数</x:v>
      </x:c>
      <x:c r="K15" s="27" t="str">
        <x:v>Orchestrator</x:v>
      </x:c>
      <x:c r="L15" s="26" t="str">
        <x:v>部分实现</x:v>
      </x:c>
      <x:c r="M15" s="27" t="str">
        <x:v>路由表固定；不得同时暴露全部绘图能力让 Agent 自选</x:v>
      </x:c>
      <x:c r="N15" s="27" t="str">
        <x:v>requires drawio/mermaid/graphviz/excalidraw 实现</x:v>
      </x:c>
      <x:c r="O15" s="27" t="str">
        <x:v>同一输入路由稳定；无匹配时转人工</x:v>
      </x:c>
      <x:c r="P15" s="27" t="str">
        <x:v>规划清单</x:v>
      </x:c>
      <x:c r="Q15" s="27" t="str">
        <x:v>上层 orchestration，不重复造轮子</x:v>
      </x:c>
    </x:row>
    <x:row r="16" ht="54" customHeight="1">
      <x:c r="A16" s="26" t="str">
        <x:v>SK-012</x:v>
      </x:c>
      <x:c r="B16" s="27" t="str">
        <x:v>excalidraw-skill（名称待定）</x:v>
      </x:c>
      <x:c r="C16" s="27" t="str">
        <x:v>草图与白板图</x:v>
      </x:c>
      <x:c r="D16" s="27" t="str">
        <x:v>待命名 Skill</x:v>
      </x:c>
      <x:c r="E16" s="27" t="str">
        <x:v>④ Agent 能力与执行交付</x:v>
      </x:c>
      <x:c r="F16" s="27" t="str">
        <x:v>图表与可视化</x:v>
      </x:c>
      <x:c r="G16" s="27" t="str">
        <x:v>需要手绘风格、协作白板或早期概念图时</x:v>
      </x:c>
      <x:c r="H16" s="27" t="str">
        <x:v>生成可编辑 Excalidraw 图并供 drawing-skill 调度</x:v>
      </x:c>
      <x:c r="I16" s="27" t="str">
        <x:v>图表目的、节点和关系</x:v>
      </x:c>
      <x:c r="J16" s="27" t="str">
        <x:v>Excalidraw 文件与预览</x:v>
      </x:c>
      <x:c r="K16" s="27" t="str">
        <x:v>需求/设计 Agent</x:v>
      </x:c>
      <x:c r="L16" s="26" t="str">
        <x:v>规划</x:v>
      </x:c>
      <x:c r="M16" s="27" t="str">
        <x:v>仅用于表达，不得取代正式结构化验收图</x:v>
      </x:c>
      <x:c r="N16" s="27" t="str">
        <x:v>由 drawing-skill 分发</x:v>
      </x:c>
      <x:c r="O16" s="27" t="str">
        <x:v>文件可编辑；信息与源输入一致</x:v>
      </x:c>
      <x:c r="P16" s="27" t="str">
        <x:v>drawing-skill 路由目标</x:v>
      </x:c>
      <x:c r="Q16" s="27" t="str">
        <x:v>思维导图提到 Excalidraw，但未给出正式 Skill 名称</x:v>
      </x:c>
    </x:row>
    <x:row r="17" ht="54" customHeight="1">
      <x:c r="A17" s="26" t="str">
        <x:v>SK-013</x:v>
      </x:c>
      <x:c r="B17" s="27" t="str">
        <x:v>univer</x:v>
      </x:c>
      <x:c r="C17" s="27" t="str">
        <x:v>DOCX与表格编辑能力</x:v>
      </x:c>
      <x:c r="D17" s="27" t="str">
        <x:v>平台能力（非独立Skill）</x:v>
      </x:c>
      <x:c r="E17" s="27" t="str">
        <x:v>④ Agent 能力与执行交付</x:v>
      </x:c>
      <x:c r="F17" s="27" t="str">
        <x:v>文档与原型</x:v>
      </x:c>
      <x:c r="G17" s="27" t="str">
        <x:v>PRD文档和表格需要所见即所得编辑时</x:v>
      </x:c>
      <x:c r="H17" s="27" t="str">
        <x:v>提供文档/表格编辑表面并承载本地修改</x:v>
      </x:c>
      <x:c r="I17" s="27" t="str">
        <x:v>DOCX/文档内容、结构化表格</x:v>
      </x:c>
      <x:c r="J17" s="27" t="str">
        <x:v>可编辑文档内容</x:v>
      </x:c>
      <x:c r="K17" s="27" t="str">
        <x:v>产品/需求人员</x:v>
      </x:c>
      <x:c r="L17" s="26" t="str">
        <x:v>已实现</x:v>
      </x:c>
      <x:c r="M17" s="27" t="str">
        <x:v>编辑停留本地，显式保存后才进入版本流程</x:v>
      </x:c>
      <x:c r="N17" s="27" t="str">
        <x:v>可被 document-asset-skill 与 PRD 工作流调用</x:v>
      </x:c>
      <x:c r="O17" s="27" t="str">
        <x:v>内容可滚动编辑；保存/离开规则生效；版本可追踪</x:v>
      </x:c>
      <x:c r="P17" s="27" t="str">
        <x:v>PRD编辑器 / Univer 集成</x:v>
      </x:c>
      <x:c r="Q17" s="27" t="str">
        <x:v>它是平台组件，纳入清单是因为导图将其放在 Skill 能力组</x:v>
      </x:c>
    </x:row>
    <x:row r="18" ht="54" customHeight="1">
      <x:c r="A18" s="26" t="str">
        <x:v>SK-014</x:v>
      </x:c>
      <x:c r="B18" s="27" t="str">
        <x:v>html-prototype-skill</x:v>
      </x:c>
      <x:c r="C18" s="27" t="str">
        <x:v>HTML交互原型生成</x:v>
      </x:c>
      <x:c r="D18" s="27" t="str">
        <x:v>项目内 Skill</x:v>
      </x:c>
      <x:c r="E18" s="27" t="str">
        <x:v>④ Agent 能力与执行交付</x:v>
      </x:c>
      <x:c r="F18" s="27" t="str">
        <x:v>文档与原型</x:v>
      </x:c>
      <x:c r="G18" s="27" t="str">
        <x:v>PRD或用户场景已确认，需要验证页面和交互时</x:v>
      </x:c>
      <x:c r="H18" s="27" t="str">
        <x:v>依据当前PRD生成可运行 HTML/CSS/JS 原型</x:v>
      </x:c>
      <x:c r="I18" s="27" t="str">
        <x:v>PRD版本、用户场景、视觉约束</x:v>
      </x:c>
      <x:c r="J18" s="27" t="str">
        <x:v>可运行原型、页面与交互清单</x:v>
      </x:c>
      <x:c r="K18" s="27" t="str">
        <x:v>Prototype Agent</x:v>
      </x:c>
      <x:c r="L18" s="26" t="str">
        <x:v>部分实现</x:v>
      </x:c>
      <x:c r="M18" s="27" t="str">
        <x:v>只能基于已保存PRD；不能把原型细节反写成已确认需求</x:v>
      </x:c>
      <x:c r="N18" s="27" t="str">
        <x:v>配对 prototype-review-skill；可使用 document-asset-skill</x:v>
      </x:c>
      <x:c r="O18" s="27" t="str">
        <x:v>原型可运行；页面、状态、交互可与PRD逐项映射</x:v>
      </x:c>
      <x:c r="P18" s="27" t="str">
        <x:v>规划清单 / PRD原型生成入口</x:v>
      </x:c>
      <x:c r="Q18" s="27" t="str">
        <x:v>现有原型生成链路可用，完整 Skill 契约仍需固化</x:v>
      </x:c>
    </x:row>
    <x:row r="19" ht="54" customHeight="1">
      <x:c r="A19" s="26" t="str">
        <x:v>SK-015</x:v>
      </x:c>
      <x:c r="B19" s="27" t="str">
        <x:v>document-asset-skill</x:v>
      </x:c>
      <x:c r="C19" s="27" t="str">
        <x:v>文档图片与附件管理</x:v>
      </x:c>
      <x:c r="D19" s="27" t="str">
        <x:v>项目内规划 Skill</x:v>
      </x:c>
      <x:c r="E19" s="27" t="str">
        <x:v>④ Agent 能力与执行交付</x:v>
      </x:c>
      <x:c r="F19" s="27" t="str">
        <x:v>文档与原型</x:v>
      </x:c>
      <x:c r="G19" s="27" t="str">
        <x:v>PRD中需要插入图片、截图、SVG或附件时</x:v>
      </x:c>
      <x:c r="H19" s="27" t="str">
        <x:v>统一处理资源元数据、caption、alt text和Block绑定</x:v>
      </x:c>
      <x:c r="I19" s="27" t="str">
        <x:v>资源文件、目标Block、说明文字</x:v>
      </x:c>
      <x:c r="J19" s="27" t="str">
        <x:v>受管资源记录与文档引用</x:v>
      </x:c>
      <x:c r="K19" s="27" t="str">
        <x:v>Document Agent</x:v>
      </x:c>
      <x:c r="L19" s="26" t="str">
        <x:v>规划</x:v>
      </x:c>
      <x:c r="M19" s="27" t="str">
        <x:v>不得丢失来源、版权或可访问性说明；不得用路径外文件</x:v>
      </x:c>
      <x:c r="N19" s="27" t="str">
        <x:v>可接 imagegen、drawio-skill、univer</x:v>
      </x:c>
      <x:c r="O19" s="27" t="str">
        <x:v>资源可打开；元数据齐全；引用与Block一致</x:v>
      </x:c>
      <x:c r="P19" s="27" t="str">
        <x:v>规划清单</x:v>
      </x:c>
      <x:c r="Q19" s="27" t="str">
        <x:v>用于解决文档资源可追溯性</x:v>
      </x:c>
    </x:row>
    <x:row r="20" ht="54" customHeight="1">
      <x:c r="A20" s="26" t="str">
        <x:v>SK-016</x:v>
      </x:c>
      <x:c r="B20" s="27" t="str">
        <x:v>prototype-review-skill</x:v>
      </x:c>
      <x:c r="C20" s="27" t="str">
        <x:v>原型覆盖与一致性审查</x:v>
      </x:c>
      <x:c r="D20" s="27" t="str">
        <x:v>项目内规划 Skill</x:v>
      </x:c>
      <x:c r="E20" s="27" t="str">
        <x:v>④ Agent 能力与执行交付</x:v>
      </x:c>
      <x:c r="F20" s="27" t="str">
        <x:v>文档与原型</x:v>
      </x:c>
      <x:c r="G20" s="27" t="str">
        <x:v>HTML原型生成后、进入人工评审前</x:v>
      </x:c>
      <x:c r="H20" s="27" t="str">
        <x:v>检查漏页面、漏状态、漏交互以及原型与PRD冲突</x:v>
      </x:c>
      <x:c r="I20" s="27" t="str">
        <x:v>PRD、原型、页面/交互清单</x:v>
      </x:c>
      <x:c r="J20" s="27" t="str">
        <x:v>覆盖报告、冲突和缺口</x:v>
      </x:c>
      <x:c r="K20" s="27" t="str">
        <x:v>Prototype Review Agent</x:v>
      </x:c>
      <x:c r="L20" s="26" t="str">
        <x:v>规划</x:v>
      </x:c>
      <x:c r="M20" s="27" t="str">
        <x:v>只读审查；与生成方隔离上下文，不能自行修改原型</x:v>
      </x:c>
      <x:c r="N20" s="27" t="str">
        <x:v>配对 html-prototype-skill；依赖 traceability-skill</x:v>
      </x:c>
      <x:c r="O20" s="27" t="str">
        <x:v>每条缺口关联PRD条目与原型位置；异议逐条处置</x:v>
      </x:c>
      <x:c r="P20" s="27" t="str">
        <x:v>规划清单</x:v>
      </x:c>
      <x:c r="Q20" s="27" t="str">
        <x:v>双Agent对抗式配对之一</x:v>
      </x:c>
    </x:row>
    <x:row r="21" ht="54" customHeight="1">
      <x:c r="A21" s="26" t="str">
        <x:v>SK-017</x:v>
      </x:c>
      <x:c r="B21" s="27" t="str">
        <x:v>10题选型→模型（selection.yaml）</x:v>
      </x:c>
      <x:c r="C21" s="27" t="str">
        <x:v>生命周期路线选择</x:v>
      </x:c>
      <x:c r="D21" s="27" t="str">
        <x:v>确定性规则能力</x:v>
      </x:c>
      <x:c r="E21" s="27" t="str">
        <x:v>④ Agent 能力与执行交付</x:v>
      </x:c>
      <x:c r="F21" s="27" t="str">
        <x:v>编排与选型</x:v>
      </x:c>
      <x:c r="G21" s="27" t="str">
        <x:v>形成阶段、里程碑或任务计划前</x:v>
      </x:c>
      <x:c r="H21" s="27" t="str">
        <x:v>依据10项选择问题、阈值与冲突规则确定生命周期模型</x:v>
      </x:c>
      <x:c r="I21" s="27" t="str">
        <x:v>已确认需求、10题答案、冲突信息</x:v>
      </x:c>
      <x:c r="J21" s="27" t="str">
        <x:v>唯一模型或待决策清单</x:v>
      </x:c>
      <x:c r="K21" s="27" t="str">
        <x:v>Planning Orchestrator</x:v>
      </x:c>
      <x:c r="L21" s="26" t="str">
        <x:v>已实现</x:v>
      </x:c>
      <x:c r="M21" s="27" t="str">
        <x:v>未知不等于否；不确定性会改变路线时必须先澄清</x:v>
      </x:c>
      <x:c r="N21" s="27" t="str">
        <x:v>依赖 selection.yaml、execution.yaml、models/*.yaml</x:v>
      </x:c>
      <x:c r="O21" s="27" t="str">
        <x:v>相同输入得到相同路线；冲突和无匹配不被静默吞掉</x:v>
      </x:c>
      <x:c r="P21" s="27" t="str">
        <x:v>backend/rules/sdlc/selection.yaml</x:v>
      </x:c>
      <x:c r="Q21" s="27" t="str">
        <x:v>属于规则能力，不应由大模型自由选择</x:v>
      </x:c>
    </x:row>
    <x:row r="22" ht="54" customHeight="1">
      <x:c r="A22" s="26" t="str">
        <x:v>SK-018</x:v>
      </x:c>
      <x:c r="B22" s="27" t="str">
        <x:v>pm-skills/create-prd</x:v>
      </x:c>
      <x:c r="C22" s="27" t="str">
        <x:v>PRD生成与Block修订</x:v>
      </x:c>
      <x:c r="D22" s="27" t="str">
        <x:v>项目内 Skill</x:v>
      </x:c>
      <x:c r="E22" s="27" t="str">
        <x:v>④ Agent 能力与执行交付</x:v>
      </x:c>
      <x:c r="F22" s="27" t="str">
        <x:v>PRD生成与审查</x:v>
      </x:c>
      <x:c r="G22" s="27" t="str">
        <x:v>需求澄清完成后或某Block需要重写时</x:v>
      </x:c>
      <x:c r="H22" s="27" t="str">
        <x:v>生成或修订Problem、目标、用户、功能、假设、边界等PRD内容</x:v>
      </x:c>
      <x:c r="I22" s="27" t="str">
        <x:v>访谈结论、范围、约束、既有PRD</x:v>
      </x:c>
      <x:c r="J22" s="27" t="str">
        <x:v>PRD草案或Block修订稿</x:v>
      </x:c>
      <x:c r="K22" s="27" t="str">
        <x:v>PRD Author Agent</x:v>
      </x:c>
      <x:c r="L22" s="26" t="str">
        <x:v>部分实现</x:v>
      </x:c>
      <x:c r="M22" s="27" t="str">
        <x:v>不得填造未确认事实；所有假设必须显式标记</x:v>
      </x:c>
      <x:c r="N22" s="27" t="str">
        <x:v>配对 prd-critique；可接 requirement-registry-skill</x:v>
      </x:c>
      <x:c r="O22" s="27" t="str">
        <x:v>必备章节完整；假设、范围和验收可追溯</x:v>
      </x:c>
      <x:c r="P22" s="27" t="str">
        <x:v>规划清单</x:v>
      </x:c>
      <x:c r="Q22" s="27" t="str">
        <x:v>导图中写作 pm-skills / create-prd</x:v>
      </x:c>
    </x:row>
    <x:row r="23" ht="54" customHeight="1">
      <x:c r="A23" s="26" t="str">
        <x:v>SK-019</x:v>
      </x:c>
      <x:c r="B23" s="27" t="str">
        <x:v>prd-consistency-skill</x:v>
      </x:c>
      <x:c r="C23" s="27" t="str">
        <x:v>PRD内部一致性检查</x:v>
      </x:c>
      <x:c r="D23" s="27" t="str">
        <x:v>项目内 Skill</x:v>
      </x:c>
      <x:c r="E23" s="27" t="str">
        <x:v>④ Agent 能力与执行交付</x:v>
      </x:c>
      <x:c r="F23" s="27" t="str">
        <x:v>PRD生成与审查</x:v>
      </x:c>
      <x:c r="G23" s="27" t="str">
        <x:v>PRD新增、Block依赖变更或版本合并时</x:v>
      </x:c>
      <x:c r="H23" s="27" t="str">
        <x:v>发现重复需求、定义漂移、范围冲突、状态冲突和依赖异常</x:v>
      </x:c>
      <x:c r="I23" s="27" t="str">
        <x:v>PRD Block、依赖、术语和状态</x:v>
      </x:c>
      <x:c r="J23" s="27" t="str">
        <x:v>一致性问题清单与影响范围</x:v>
      </x:c>
      <x:c r="K23" s="27" t="str">
        <x:v>PRD Review Agent</x:v>
      </x:c>
      <x:c r="L23" s="26" t="str">
        <x:v>部分实现</x:v>
      </x:c>
      <x:c r="M23" s="27" t="str">
        <x:v>不能自动选择冲突一方；高影响冲突转人工</x:v>
      </x:c>
      <x:c r="N23" s="27" t="str">
        <x:v>依赖 requirement-registry-skill</x:v>
      </x:c>
      <x:c r="O23" s="27" t="str">
        <x:v>每个冲突含两端证据、影响Block和处置状态</x:v>
      </x:c>
      <x:c r="P23" s="27" t="str">
        <x:v>规划清单</x:v>
      </x:c>
      <x:c r="Q23" s="27" t="str">
        <x:v>建议作为保存前和评审前门禁</x:v>
      </x:c>
    </x:row>
    <x:row r="24" ht="54" customHeight="1">
      <x:c r="A24" s="26" t="str">
        <x:v>SK-020</x:v>
      </x:c>
      <x:c r="B24" s="27" t="str">
        <x:v>requirement-registry-skill</x:v>
      </x:c>
      <x:c r="C24" s="27" t="str">
        <x:v>结构化需求登记</x:v>
      </x:c>
      <x:c r="D24" s="27" t="str">
        <x:v>项目内规划 Skill</x:v>
      </x:c>
      <x:c r="E24" s="27" t="str">
        <x:v>④ Agent 能力与执行交付</x:v>
      </x:c>
      <x:c r="F24" s="27" t="str">
        <x:v>PRD生成与审查</x:v>
      </x:c>
      <x:c r="G24" s="27" t="str">
        <x:v>自然语言PRD进入编号、拆解和追溯流程前</x:v>
      </x:c>
      <x:c r="H24" s="27" t="str">
        <x:v>抽取结构化需求池，校验矛盾、FR编号缺失和问题说明缺失</x:v>
      </x:c>
      <x:c r="I24" s="27" t="str">
        <x:v>自然语言PRD、既有需求注册表</x:v>
      </x:c>
      <x:c r="J24" s="27" t="str">
        <x:v>结构化需求、稳定ID、校验错误</x:v>
      </x:c>
      <x:c r="K24" s="27" t="str">
        <x:v>Requirement Agent</x:v>
      </x:c>
      <x:c r="L24" s="26" t="str">
        <x:v>规划</x:v>
      </x:c>
      <x:c r="M24" s="27" t="str">
        <x:v>缺字段必须报错；不得自动补造业务事实或编号含义</x:v>
      </x:c>
      <x:c r="N24" s="27" t="str">
        <x:v>feeds traceability-skill、planning-and-task-breakdown</x:v>
      </x:c>
      <x:c r="O24" s="27" t="str">
        <x:v>编号唯一；字段齐全；矛盾项不会进入完成状态</x:v>
      </x:c>
      <x:c r="P24" s="27" t="str">
        <x:v>规划清单</x:v>
      </x:c>
      <x:c r="Q24" s="27" t="str">
        <x:v>保障入库信息准确的关键Skill</x:v>
      </x:c>
    </x:row>
    <x:row r="25" ht="54" customHeight="1">
      <x:c r="A25" s="26" t="str">
        <x:v>SK-021</x:v>
      </x:c>
      <x:c r="B25" s="27" t="str">
        <x:v>prd-critique</x:v>
      </x:c>
      <x:c r="C25" s="27" t="str">
        <x:v>PRD独立审查</x:v>
      </x:c>
      <x:c r="D25" s="27" t="str">
        <x:v>项目内规划 Skill</x:v>
      </x:c>
      <x:c r="E25" s="27" t="str">
        <x:v>④ Agent 能力与执行交付</x:v>
      </x:c>
      <x:c r="F25" s="27" t="str">
        <x:v>PRD生成与审查</x:v>
      </x:c>
      <x:c r="G25" s="27" t="str">
        <x:v>PRD作者提交草案或修订稿后</x:v>
      </x:c>
      <x:c r="H25" s="27" t="str">
        <x:v>审查遗漏、定义、范围、需求、边界条件、验收标准和取舍</x:v>
      </x:c>
      <x:c r="I25" s="27" t="str">
        <x:v>PRD、原始需求、评审规则</x:v>
      </x:c>
      <x:c r="J25" s="27" t="str">
        <x:v>结构化异议、风险与修改建议</x:v>
      </x:c>
      <x:c r="K25" s="27" t="str">
        <x:v>PRD Challenge Agent</x:v>
      </x:c>
      <x:c r="L25" s="26" t="str">
        <x:v>规划</x:v>
      </x:c>
      <x:c r="M25" s="27" t="str">
        <x:v>与作者推理隔离；只依据产物与原始需求；不能礼貌放行</x:v>
      </x:c>
      <x:c r="N25" s="27" t="str">
        <x:v>配对 create-prd；可调用 review-agent</x:v>
      </x:c>
      <x:c r="O25" s="27" t="str">
        <x:v>异议逐条有证据、责任人和关闭结论</x:v>
      </x:c>
      <x:c r="P25" s="27" t="str">
        <x:v>规划清单</x:v>
      </x:c>
      <x:c r="Q25" s="27" t="str">
        <x:v>双Agent对抗式配对之一</x:v>
      </x:c>
    </x:row>
    <x:row r="26" ht="54" customHeight="1">
      <x:c r="A26" s="26" t="str">
        <x:v>SK-022</x:v>
      </x:c>
      <x:c r="B26" s="27" t="str">
        <x:v>architecture-design-skill（名称待定）</x:v>
      </x:c>
      <x:c r="C26" s="27" t="str">
        <x:v>架构方案设计</x:v>
      </x:c>
      <x:c r="D26" s="27" t="str">
        <x:v>待命名 Skill</x:v>
      </x:c>
      <x:c r="E26" s="27" t="str">
        <x:v>④ Agent 能力与执行交付</x:v>
      </x:c>
      <x:c r="F26" s="27" t="str">
        <x:v>架构与一致性</x:v>
      </x:c>
      <x:c r="G26" s="27" t="str">
        <x:v>PRD稳定且需要形成架构路线、模块与接口时</x:v>
      </x:c>
      <x:c r="H26" s="27" t="str">
        <x:v>按批准边界形成架构候选、模块切片、接口与依赖</x:v>
      </x:c>
      <x:c r="I26" s="27" t="str">
        <x:v>PRD、非功能需求、现有架构、约束</x:v>
      </x:c>
      <x:c r="J26" s="27" t="str">
        <x:v>架构方案、ADR、模块/接口清单</x:v>
      </x:c>
      <x:c r="K26" s="27" t="str">
        <x:v>Architecture Agent</x:v>
      </x:c>
      <x:c r="L26" s="26" t="str">
        <x:v>规划</x:v>
      </x:c>
      <x:c r="M26" s="27" t="str">
        <x:v>不得越过PRD决定产品细节；关键取舍交人工评审</x:v>
      </x:c>
      <x:c r="N26" s="27" t="str">
        <x:v>配对 arch-consistency-skill、drawio-架构校验-skill</x:v>
      </x:c>
      <x:c r="O26" s="27" t="str">
        <x:v>方案覆盖需求；取舍与影响可追溯；评审通过</x:v>
      </x:c>
      <x:c r="P26" s="27" t="str">
        <x:v>对抗配对中的“架构设计 skill”</x:v>
      </x:c>
      <x:c r="Q26" s="27" t="str">
        <x:v>思维导图未给出正式名称</x:v>
      </x:c>
    </x:row>
    <x:row r="27" ht="54" customHeight="1">
      <x:c r="A27" s="26" t="str">
        <x:v>SK-023</x:v>
      </x:c>
      <x:c r="B27" s="27" t="str">
        <x:v>arch-consistency-skill</x:v>
      </x:c>
      <x:c r="C27" s="27" t="str">
        <x:v>跨层架构一致性</x:v>
      </x:c>
      <x:c r="D27" s="27" t="str">
        <x:v>项目内 Skill</x:v>
      </x:c>
      <x:c r="E27" s="27" t="str">
        <x:v>④ Agent 能力与执行交付</x:v>
      </x:c>
      <x:c r="F27" s="27" t="str">
        <x:v>架构与一致性</x:v>
      </x:c>
      <x:c r="G27" s="27" t="str">
        <x:v>架构或DDD卡片映射到切片边界时</x:v>
      </x:c>
      <x:c r="H27" s="27" t="str">
        <x:v>计算DDD卡片模态到切片边界并输出一致性报告</x:v>
      </x:c>
      <x:c r="I27" s="27" t="str">
        <x:v>PRD、DDD卡片、架构切片、模块边界</x:v>
      </x:c>
      <x:c r="J27" s="27" t="str">
        <x:v>Consistency Report、越界项</x:v>
      </x:c>
      <x:c r="K27" s="27" t="str">
        <x:v>Architecture Review Agent / Coder</x:v>
      </x:c>
      <x:c r="L27" s="26" t="str">
        <x:v>部分实现</x:v>
      </x:c>
      <x:c r="M27" s="27" t="str">
        <x:v>不允许越过PRD人工设计细节；只给证据化问题</x:v>
      </x:c>
      <x:c r="N27" s="27" t="str">
        <x:v>Coder固定装配；配对 architecture-design-skill</x:v>
      </x:c>
      <x:c r="O27" s="27" t="str">
        <x:v>边界映射完整；越界项定位到需求和代码模块</x:v>
      </x:c>
      <x:c r="P27" s="27" t="str">
        <x:v>规划清单</x:v>
      </x:c>
      <x:c r="Q27" s="27" t="str">
        <x:v>Coder绑定矩阵中的必需Skill</x:v>
      </x:c>
    </x:row>
    <x:row r="28" ht="54" customHeight="1">
      <x:c r="A28" s="26" t="str">
        <x:v>SK-024</x:v>
      </x:c>
      <x:c r="B28" s="27" t="str">
        <x:v>ui-layer-consistency-skill</x:v>
      </x:c>
      <x:c r="C28" s="27" t="str">
        <x:v>UI需求层映射检查</x:v>
      </x:c>
      <x:c r="D28" s="27" t="str">
        <x:v>项目内规划 Skill</x:v>
      </x:c>
      <x:c r="E28" s="27" t="str">
        <x:v>④ Agent 能力与执行交付</x:v>
      </x:c>
      <x:c r="F28" s="27" t="str">
        <x:v>架构与一致性</x:v>
      </x:c>
      <x:c r="G28" s="27" t="str">
        <x:v>Block声明requires.ui或UI层发生变化时</x:v>
      </x:c>
      <x:c r="H28" s="27" t="str">
        <x:v>检查 block.requires.ui 与 PRD 页面、组件和交互的映射</x:v>
      </x:c>
      <x:c r="I28" s="27" t="str">
        <x:v>Block、requires.ui、PRD和原型</x:v>
      </x:c>
      <x:c r="J28" s="27" t="str">
        <x:v>映射报告、缺失/冲突项</x:v>
      </x:c>
      <x:c r="K28" s="27" t="str">
        <x:v>UI Review Agent</x:v>
      </x:c>
      <x:c r="L28" s="26" t="str">
        <x:v>规划</x:v>
      </x:c>
      <x:c r="M28" s="27" t="str">
        <x:v>不能从原型反推未确认需求；缺口必须回到PRD</x:v>
      </x:c>
      <x:c r="N28" s="27" t="str">
        <x:v>依赖 html-prototype-skill、traceability-skill</x:v>
      </x:c>
      <x:c r="O28" s="27" t="str">
        <x:v>每个UI依赖可追溯到PRD和原型元素</x:v>
      </x:c>
      <x:c r="P28" s="27" t="str">
        <x:v>规划清单</x:v>
      </x:c>
      <x:c r="Q28" s="27" t="str">
        <x:v>防止跨层漂移</x:v>
      </x:c>
    </x:row>
    <x:row r="29" ht="54" customHeight="1">
      <x:c r="A29" s="26" t="str">
        <x:v>SK-025</x:v>
      </x:c>
      <x:c r="B29" s="27" t="str">
        <x:v>planning-and-task-breakdown</x:v>
      </x:c>
      <x:c r="C29" s="27" t="str">
        <x:v>需求到WorkItem拆解</x:v>
      </x:c>
      <x:c r="D29" s="27" t="str">
        <x:v>项目内 Skill</x:v>
      </x:c>
      <x:c r="E29" s="27" t="str">
        <x:v>④ Agent 能力与执行交付</x:v>
      </x:c>
      <x:c r="F29" s="27" t="str">
        <x:v>拆解验收追溯</x:v>
      </x:c>
      <x:c r="G29" s="27" t="str">
        <x:v>PRD通过评审、准备形成可执行任务时</x:v>
      </x:c>
      <x:c r="H29" s="27" t="str">
        <x:v>把PRD拆成可实施、可验证的WorkItem，带验收、依赖和阶段</x:v>
      </x:c>
      <x:c r="I29" s="27" t="str">
        <x:v>已批准PRD、架构边界、执行模型</x:v>
      </x:c>
      <x:c r="J29" s="27" t="str">
        <x:v>WorkItem、依赖、阶段、责任与排期输入</x:v>
      </x:c>
      <x:c r="K29" s="27" t="str">
        <x:v>Planning Agent</x:v>
      </x:c>
      <x:c r="L29" s="26" t="str">
        <x:v>部分实现</x:v>
      </x:c>
      <x:c r="M29" s="27" t="str">
        <x:v>不得跨Block、跨模块发明范围；门禁必须建成依赖</x:v>
      </x:c>
      <x:c r="N29" s="27" t="str">
        <x:v>requires acceptance-criteria-skill、traceability-skill</x:v>
      </x:c>
      <x:c r="O29" s="27" t="str">
        <x:v>需求映射完整；每项可执行可验收；无里程碑依赖误用</x:v>
      </x:c>
      <x:c r="P29" s="27" t="str">
        <x:v>规划清单</x:v>
      </x:c>
      <x:c r="Q29" s="27" t="str">
        <x:v>向低阶Agent交付AgentSpec前的核心Skill</x:v>
      </x:c>
    </x:row>
    <x:row r="30" ht="54" customHeight="1">
      <x:c r="A30" s="26" t="str">
        <x:v>SK-026</x:v>
      </x:c>
      <x:c r="B30" s="27" t="str">
        <x:v>acceptance-criteria-skill</x:v>
      </x:c>
      <x:c r="C30" s="27" t="str">
        <x:v>可测试验收标准</x:v>
      </x:c>
      <x:c r="D30" s="27" t="str">
        <x:v>项目内 Skill</x:v>
      </x:c>
      <x:c r="E30" s="27" t="str">
        <x:v>④ Agent 能力与执行交付</x:v>
      </x:c>
      <x:c r="F30" s="27" t="str">
        <x:v>拆解验收追溯</x:v>
      </x:c>
      <x:c r="G30" s="27" t="str">
        <x:v>Spec拆分和Coder接单之前</x:v>
      </x:c>
      <x:c r="H30" s="27" t="str">
        <x:v>把需求改写为可观察、可判定、含边界和失败场景的验收标准</x:v>
      </x:c>
      <x:c r="I30" s="27" t="str">
        <x:v>需求、业务规则、风险场景</x:v>
      </x:c>
      <x:c r="J30" s="27" t="str">
        <x:v>Acceptance Criteria、测试提示</x:v>
      </x:c>
      <x:c r="K30" s="27" t="str">
        <x:v>Planning Agent / Test Agent</x:v>
      </x:c>
      <x:c r="L30" s="26" t="str">
        <x:v>部分实现</x:v>
      </x:c>
      <x:c r="M30" s="27" t="str">
        <x:v>不得用模糊主观词代替判定条件；缺少规则时转人工</x:v>
      </x:c>
      <x:c r="N30" s="27" t="str">
        <x:v>配合 planning-and-task-breakdown、unit-test-skill</x:v>
      </x:c>
      <x:c r="O30" s="27" t="str">
        <x:v>每条标准能映射到测试；正向、反向、边界覆盖</x:v>
      </x:c>
      <x:c r="P30" s="27" t="str">
        <x:v>规划清单</x:v>
      </x:c>
      <x:c r="Q30" s="27" t="str">
        <x:v>Test绑定矩阵中的必需Skill</x:v>
      </x:c>
    </x:row>
    <x:row r="31" ht="54" customHeight="1">
      <x:c r="A31" s="26" t="str">
        <x:v>SK-027</x:v>
      </x:c>
      <x:c r="B31" s="27" t="str">
        <x:v>traceability-skill</x:v>
      </x:c>
      <x:c r="C31" s="27" t="str">
        <x:v>端到端追溯</x:v>
      </x:c>
      <x:c r="D31" s="27" t="str">
        <x:v>项目内 Skill</x:v>
      </x:c>
      <x:c r="E31" s="27" t="str">
        <x:v>④ Agent 能力与执行交付</x:v>
      </x:c>
      <x:c r="F31" s="27" t="str">
        <x:v>拆解验收追溯</x:v>
      </x:c>
      <x:c r="G31" s="27" t="str">
        <x:v>需求、设计、任务或测试发生新增/变更时</x:v>
      </x:c>
      <x:c r="H31" s="27" t="str">
        <x:v>建立PRD→Block→ER→Spec→Acceptance→WorkItem→Test全链映射</x:v>
      </x:c>
      <x:c r="I31" s="27" t="str">
        <x:v>各层对象与稳定ID</x:v>
      </x:c>
      <x:c r="J31" s="27" t="str">
        <x:v>追溯矩阵、孤儿项与断链报告</x:v>
      </x:c>
      <x:c r="K31" s="27" t="str">
        <x:v>Traceability Agent / Reviewer</x:v>
      </x:c>
      <x:c r="L31" s="26" t="str">
        <x:v>部分实现</x:v>
      </x:c>
      <x:c r="M31" s="27" t="str">
        <x:v>不允许以文本相似度静默确认映射；歧义必须标记</x:v>
      </x:c>
      <x:c r="N31" s="27" t="str">
        <x:v>依赖 requirement-registry-skill</x:v>
      </x:c>
      <x:c r="O31" s="27" t="str">
        <x:v>无孤儿需求和无来源任务；变更影响可反向追踪</x:v>
      </x:c>
      <x:c r="P31" s="27" t="str">
        <x:v>规划清单</x:v>
      </x:c>
      <x:c r="Q31" s="27" t="str">
        <x:v>是入库准确性与验收闭环的主索引</x:v>
      </x:c>
    </x:row>
    <x:row r="32" ht="54" customHeight="1">
      <x:c r="A32" s="26" t="str">
        <x:v>SK-028</x:v>
      </x:c>
      <x:c r="B32" s="27" t="str">
        <x:v>independent-reviewer-skill（名称待定）</x:v>
      </x:c>
      <x:c r="C32" s="27" t="str">
        <x:v>拆解独立复核</x:v>
      </x:c>
      <x:c r="D32" s="27" t="str">
        <x:v>待命名 Skill</x:v>
      </x:c>
      <x:c r="E32" s="27" t="str">
        <x:v>④ Agent 能力与执行交付</x:v>
      </x:c>
      <x:c r="F32" s="27" t="str">
        <x:v>拆解验收追溯</x:v>
      </x:c>
      <x:c r="G32" s="27" t="str">
        <x:v>任务拆解完成、交给Coder前</x:v>
      </x:c>
      <x:c r="H32" s="27" t="str">
        <x:v>独立检查边界、验收标准、依赖和追溯是否合理</x:v>
      </x:c>
      <x:c r="I32" s="27" t="str">
        <x:v>PRD、WorkItem、验收标准、追溯矩阵</x:v>
      </x:c>
      <x:c r="J32" s="27" t="str">
        <x:v>结构化异议与阻断项</x:v>
      </x:c>
      <x:c r="K32" s="27" t="str">
        <x:v>Challenge Agent</x:v>
      </x:c>
      <x:c r="L32" s="26" t="str">
        <x:v>规划</x:v>
      </x:c>
      <x:c r="M32" s="27" t="str">
        <x:v>与拆解方使用不同Skill组合和模型后端；只读</x:v>
      </x:c>
      <x:c r="N32" s="27" t="str">
        <x:v>配对 planning-and-task-breakdown + traceability</x:v>
      </x:c>
      <x:c r="O32" s="27" t="str">
        <x:v>异议有证据；所有阻断项在准出前处置</x:v>
      </x:c>
      <x:c r="P32" s="27" t="str">
        <x:v>对抗配对中的“独立复核器”</x:v>
      </x:c>
      <x:c r="Q32" s="27" t="str">
        <x:v>思维导图未给出正式名称</x:v>
      </x:c>
    </x:row>
    <x:row r="33" ht="54" customHeight="1">
      <x:c r="A33" s="26" t="str">
        <x:v>SK-029</x:v>
      </x:c>
      <x:c r="B33" s="27" t="str">
        <x:v>code-implementation-skill</x:v>
      </x:c>
      <x:c r="C33" s="27" t="str">
        <x:v>受边界约束的代码实现</x:v>
      </x:c>
      <x:c r="D33" s="27" t="str">
        <x:v>低阶Agent Skill</x:v>
      </x:c>
      <x:c r="E33" s="27" t="str">
        <x:v>④ Agent 能力与执行交付</x:v>
      </x:c>
      <x:c r="F33" s="27" t="str">
        <x:v>编码交付</x:v>
      </x:c>
      <x:c r="G33" s="27" t="str">
        <x:v>AgentSpec、前置依赖和准入门禁满足后</x:v>
      </x:c>
      <x:c r="H33" s="27" t="str">
        <x:v>按模块、接口和数据模型边界实现源码</x:v>
      </x:c>
      <x:c r="I33" s="27" t="str">
        <x:v>AgentSpec、代码上下文、架构约束</x:v>
      </x:c>
      <x:c r="J33" s="27" t="str">
        <x:v>源码diff、实现说明、未决项</x:v>
      </x:c>
      <x:c r="K33" s="27" t="str">
        <x:v>Coder</x:v>
      </x:c>
      <x:c r="L33" s="26" t="str">
        <x:v>规划</x:v>
      </x:c>
      <x:c r="M33" s="27" t="str">
        <x:v>只能修改allowed_paths；不能改需求、冻结接口或未批准依赖</x:v>
      </x:c>
      <x:c r="N33" s="27" t="str">
        <x:v>requires repo-context-skill、arch-consistency-skill</x:v>
      </x:c>
      <x:c r="O33" s="27" t="str">
        <x:v>diff在范围内；构建和指定测试通过；完成声明结构化</x:v>
      </x:c>
      <x:c r="P33" s="27" t="str">
        <x:v>编码交付 skill 包</x:v>
      </x:c>
      <x:c r="Q33" s="27" t="str">
        <x:v>绑定矩阵字段已具备，Skill包仍待固化准入</x:v>
      </x:c>
    </x:row>
    <x:row r="34" ht="54" customHeight="1">
      <x:c r="A34" s="26" t="str">
        <x:v>SK-030</x:v>
      </x:c>
      <x:c r="B34" s="27" t="str">
        <x:v>unit-test-skill</x:v>
      </x:c>
      <x:c r="C34" s="27" t="str">
        <x:v>单元与集成测试</x:v>
      </x:c>
      <x:c r="D34" s="27" t="str">
        <x:v>低阶Agent Skill</x:v>
      </x:c>
      <x:c r="E34" s="27" t="str">
        <x:v>④ Agent 能力与执行交付</x:v>
      </x:c>
      <x:c r="F34" s="27" t="str">
        <x:v>编码交付</x:v>
      </x:c>
      <x:c r="G34" s="27" t="str">
        <x:v>代码实现完成或缺陷修复后</x:v>
      </x:c>
      <x:c r="H34" s="27" t="str">
        <x:v>为本次改动编写并执行单元/集成测试</x:v>
      </x:c>
      <x:c r="I34" s="27" t="str">
        <x:v>代码diff、Acceptance Criteria、测试环境</x:v>
      </x:c>
      <x:c r="J34" s="27" t="str">
        <x:v>测试代码、命令、结果和失败证据</x:v>
      </x:c>
      <x:c r="K34" s="27" t="str">
        <x:v>Test Agent</x:v>
      </x:c>
      <x:c r="L34" s="26" t="str">
        <x:v>规划</x:v>
      </x:c>
      <x:c r="M34" s="27" t="str">
        <x:v>只测试本次范围；不得通过删测、降门槛或伪造结果放行</x:v>
      </x:c>
      <x:c r="N34" s="27" t="str">
        <x:v>requires acceptance-criteria-skill；配合 coverage-skill</x:v>
      </x:c>
      <x:c r="O34" s="27" t="str">
        <x:v>正向/反向/边界测试通过；失败可复现</x:v>
      </x:c>
      <x:c r="P34" s="27" t="str">
        <x:v>编码交付 skill 包</x:v>
      </x:c>
      <x:c r="Q34" s="27" t="str">
        <x:v>测试证据需绑定AgentCall</x:v>
      </x:c>
    </x:row>
    <x:row r="35" ht="54" customHeight="1">
      <x:c r="A35" s="26" t="str">
        <x:v>SK-031</x:v>
      </x:c>
      <x:c r="B35" s="27" t="str">
        <x:v>coverage-skill</x:v>
      </x:c>
      <x:c r="C35" s="27" t="str">
        <x:v>覆盖率门槛判定</x:v>
      </x:c>
      <x:c r="D35" s="27" t="str">
        <x:v>低阶Agent Skill</x:v>
      </x:c>
      <x:c r="E35" s="27" t="str">
        <x:v>④ Agent 能力与执行交付</x:v>
      </x:c>
      <x:c r="F35" s="27" t="str">
        <x:v>编码交付</x:v>
      </x:c>
      <x:c r="G35" s="27" t="str">
        <x:v>测试运行完成后</x:v>
      </x:c>
      <x:c r="H35" s="27" t="str">
        <x:v>计算受影响范围覆盖率并按批准门槛判定</x:v>
      </x:c>
      <x:c r="I35" s="27" t="str">
        <x:v>覆盖率报告、受影响文件、门槛</x:v>
      </x:c>
      <x:c r="J35" s="27" t="str">
        <x:v>覆盖率结论与缺口</x:v>
      </x:c>
      <x:c r="K35" s="27" t="str">
        <x:v>Test Agent</x:v>
      </x:c>
      <x:c r="L35" s="26" t="str">
        <x:v>规划</x:v>
      </x:c>
      <x:c r="M35" s="27" t="str">
        <x:v>不能修改阈值；不能用全仓平均掩盖关键改动缺口</x:v>
      </x:c>
      <x:c r="N35" s="27" t="str">
        <x:v>depends unit-test-skill</x:v>
      </x:c>
      <x:c r="O35" s="27" t="str">
        <x:v>覆盖率来源可验证；未达标明确阻断</x:v>
      </x:c>
      <x:c r="P35" s="27" t="str">
        <x:v>编码交付 skill 包</x:v>
      </x:c>
      <x:c r="Q35" s="27" t="str">
        <x:v>与Test Agent固定绑定</x:v>
      </x:c>
    </x:row>
    <x:row r="36" ht="54" customHeight="1">
      <x:c r="A36" s="26" t="str">
        <x:v>SK-032</x:v>
      </x:c>
      <x:c r="B36" s="27" t="str">
        <x:v>code-review-skill</x:v>
      </x:c>
      <x:c r="C36" s="27" t="str">
        <x:v>结构化代码审查</x:v>
      </x:c>
      <x:c r="D36" s="27" t="str">
        <x:v>低阶Agent Skill</x:v>
      </x:c>
      <x:c r="E36" s="27" t="str">
        <x:v>④ Agent 能力与执行交付</x:v>
      </x:c>
      <x:c r="F36" s="27" t="str">
        <x:v>编码交付</x:v>
      </x:c>
      <x:c r="G36" s="27" t="str">
        <x:v>代码提交或UT完成后</x:v>
      </x:c>
      <x:c r="H36" s="27" t="str">
        <x:v>输出findings、severity、文件行号证据和建议</x:v>
      </x:c>
      <x:c r="I36" s="27" t="str">
        <x:v>diff、AgentSpec、测试证据、架构约束</x:v>
      </x:c>
      <x:c r="J36" s="27" t="str">
        <x:v>结构化review记录</x:v>
      </x:c>
      <x:c r="K36" s="27" t="str">
        <x:v>Review Agent</x:v>
      </x:c>
      <x:c r="L36" s="26" t="str">
        <x:v>规划</x:v>
      </x:c>
      <x:c r="M36" s="27" t="str">
        <x:v>只读；不能修改代码；与Coder使用不同Skill和后端</x:v>
      </x:c>
      <x:c r="N36" s="27" t="str">
        <x:v>配对 code-implementation-skill；可叠加 review-agent</x:v>
      </x:c>
      <x:c r="O36" s="27" t="str">
        <x:v>每条finding定位到文件行；阻断项关闭后才能合并</x:v>
      </x:c>
      <x:c r="P36" s="27" t="str">
        <x:v>编码交付 skill 包</x:v>
      </x:c>
      <x:c r="Q36" s="27" t="str">
        <x:v>双Agent对抗式评审核心</x:v>
      </x:c>
    </x:row>
    <x:row r="37" ht="54" customHeight="1">
      <x:c r="A37" s="26" t="str">
        <x:v>SK-033</x:v>
      </x:c>
      <x:c r="B37" s="27" t="str">
        <x:v>security-scan-skill</x:v>
      </x:c>
      <x:c r="C37" s="27" t="str">
        <x:v>安全扫描与门禁</x:v>
      </x:c>
      <x:c r="D37" s="27" t="str">
        <x:v>低阶Agent Skill</x:v>
      </x:c>
      <x:c r="E37" s="27" t="str">
        <x:v>④ Agent 能力与执行交付</x:v>
      </x:c>
      <x:c r="F37" s="27" t="str">
        <x:v>编码交付</x:v>
      </x:c>
      <x:c r="G37" s="27" t="str">
        <x:v>代码变更涉及依赖、输入、权限、网络或秘密时</x:v>
      </x:c>
      <x:c r="H37" s="27" t="str">
        <x:v>执行静态/依赖/配置安全扫描并判定阻断项</x:v>
      </x:c>
      <x:c r="I37" s="27" t="str">
        <x:v>代码、依赖清单、策略与基线</x:v>
      </x:c>
      <x:c r="J37" s="27" t="str">
        <x:v>漏洞清单、严重度与门禁结论</x:v>
      </x:c>
      <x:c r="K37" s="27" t="str">
        <x:v>Review Agent</x:v>
      </x:c>
      <x:c r="L37" s="26" t="str">
        <x:v>规划</x:v>
      </x:c>
      <x:c r="M37" s="27" t="str">
        <x:v>扫描结果不能被执行Agent自行豁免；高危项必须人工处置</x:v>
      </x:c>
      <x:c r="N37" s="27" t="str">
        <x:v>与 code-review-skill 组合</x:v>
      </x:c>
      <x:c r="O37" s="27" t="str">
        <x:v>规则版本、扫描命令和结果可重放；高危零遗留</x:v>
      </x:c>
      <x:c r="P37" s="27" t="str">
        <x:v>编码交付 skill 包</x:v>
      </x:c>
      <x:c r="Q37" s="27" t="str">
        <x:v>Review绑定矩阵中的必需Skill</x:v>
      </x:c>
    </x:row>
    <x:row r="38" ht="54" customHeight="1">
      <x:c r="A38" s="26" t="str">
        <x:v>SK-034</x:v>
      </x:c>
      <x:c r="B38" s="27" t="str">
        <x:v>build-and-fix-skill</x:v>
      </x:c>
      <x:c r="C38" s="27" t="str">
        <x:v>构建失败定点修复</x:v>
      </x:c>
      <x:c r="D38" s="27" t="str">
        <x:v>低阶Agent Skill</x:v>
      </x:c>
      <x:c r="E38" s="27" t="str">
        <x:v>④ Agent 能力与执行交付</x:v>
      </x:c>
      <x:c r="F38" s="27" t="str">
        <x:v>编码交付</x:v>
      </x:c>
      <x:c r="G38" s="27" t="str">
        <x:v>构建或静态检查失败且失败在本次改动范围内时</x:v>
      </x:c>
      <x:c r="H38" s="27" t="str">
        <x:v>在有限轮次内定位并修复构建、lint或类型错误</x:v>
      </x:c>
      <x:c r="I38" s="27" t="str">
        <x:v>失败日志、diff、AgentSpec</x:v>
      </x:c>
      <x:c r="J38" s="27" t="str">
        <x:v>最小修复diff、重跑结果</x:v>
      </x:c>
      <x:c r="K38" s="27" t="str">
        <x:v>Repair Agent</x:v>
      </x:c>
      <x:c r="L38" s="26" t="str">
        <x:v>规划</x:v>
      </x:c>
      <x:c r="M38" s="27" t="str">
        <x:v>有界轮次；不能改测试或扩大scope来消除报错</x:v>
      </x:c>
      <x:c r="N38" s="27" t="str">
        <x:v>可配 refactor-skill；失败转人工</x:v>
      </x:c>
      <x:c r="O38" s="27" t="str">
        <x:v>原错误消失；未引入新错误；diff最小且在范围内</x:v>
      </x:c>
      <x:c r="P38" s="27" t="str">
        <x:v>编码交付 skill 包</x:v>
      </x:c>
      <x:c r="Q38" s="27" t="str">
        <x:v>受自主性预算和停止条件约束</x:v>
      </x:c>
    </x:row>
    <x:row r="39" ht="54" customHeight="1">
      <x:c r="A39" s="26" t="str">
        <x:v>SK-035</x:v>
      </x:c>
      <x:c r="B39" s="27" t="str">
        <x:v>refactor-skill</x:v>
      </x:c>
      <x:c r="C39" s="27" t="str">
        <x:v>有界重构</x:v>
      </x:c>
      <x:c r="D39" s="27" t="str">
        <x:v>低阶Agent Skill</x:v>
      </x:c>
      <x:c r="E39" s="27" t="str">
        <x:v>④ Agent 能力与执行交付</x:v>
      </x:c>
      <x:c r="F39" s="27" t="str">
        <x:v>编码交付</x:v>
      </x:c>
      <x:c r="G39" s="27" t="str">
        <x:v>修复需要局部结构调整且AgentSpec明确授权时</x:v>
      </x:c>
      <x:c r="H39" s="27" t="str">
        <x:v>在行为不变前提下实施局部重构</x:v>
      </x:c>
      <x:c r="I39" s="27" t="str">
        <x:v>授权范围、现有测试、重构目标</x:v>
      </x:c>
      <x:c r="J39" s="27" t="str">
        <x:v>重构diff与等价性证据</x:v>
      </x:c>
      <x:c r="K39" s="27" t="str">
        <x:v>Repair Agent</x:v>
      </x:c>
      <x:c r="L39" s="26" t="str">
        <x:v>部分实现</x:v>
      </x:c>
      <x:c r="M39" s="27" t="str">
        <x:v>不得改变公开行为、扩大模块或顺手清理无关代码</x:v>
      </x:c>
      <x:c r="N39" s="27" t="str">
        <x:v>与 build-and-fix-skill 绑定</x:v>
      </x:c>
      <x:c r="O39" s="27" t="str">
        <x:v>行为测试不变；diff仅覆盖授权目标</x:v>
      </x:c>
      <x:c r="P39" s="27" t="str">
        <x:v>Skill绑定矩阵</x:v>
      </x:c>
      <x:c r="Q39" s="27" t="str">
        <x:v>导图只在绑定矩阵中提及，需补正式定义</x:v>
      </x:c>
    </x:row>
    <x:row r="40" ht="54" customHeight="1">
      <x:c r="A40" s="26" t="str">
        <x:v>SK-036</x:v>
      </x:c>
      <x:c r="B40" s="27" t="str">
        <x:v>repo-context-skill</x:v>
      </x:c>
      <x:c r="C40" s="27" t="str">
        <x:v>按需代码上下文检索</x:v>
      </x:c>
      <x:c r="D40" s="27" t="str">
        <x:v>低阶Agent Skill</x:v>
      </x:c>
      <x:c r="E40" s="27" t="str">
        <x:v>④ Agent 能力与执行交付</x:v>
      </x:c>
      <x:c r="F40" s="27" t="str">
        <x:v>编码交付</x:v>
      </x:c>
      <x:c r="G40" s="27" t="str">
        <x:v>Coder需要理解项目结构、接口或依赖时</x:v>
      </x:c>
      <x:c r="H40" s="27" t="str">
        <x:v>按AgentSpec和allowed_paths检索最小必要代码上下文</x:v>
      </x:c>
      <x:c r="I40" s="27" t="str">
        <x:v>任务、允许路径、检索问题</x:v>
      </x:c>
      <x:c r="J40" s="27" t="str">
        <x:v>相关文件片段、符号和依赖摘要</x:v>
      </x:c>
      <x:c r="K40" s="27" t="str">
        <x:v>Coder</x:v>
      </x:c>
      <x:c r="L40" s="26" t="str">
        <x:v>部分实现</x:v>
      </x:c>
      <x:c r="M40" s="27" t="str">
        <x:v>不得全仓漫游、读取秘密或越过允许路径；上下文只读</x:v>
      </x:c>
      <x:c r="N40" s="27" t="str">
        <x:v>Coder固定装配</x:v>
      </x:c>
      <x:c r="O40" s="27" t="str">
        <x:v>返回内容都在允许路径；检索结果可追溯到文件</x:v>
      </x:c>
      <x:c r="P40" s="27" t="str">
        <x:v>共享空间 + 编码流水线</x:v>
      </x:c>
      <x:c r="Q40" s="27" t="str">
        <x:v>能力基础具备，仍需固化为只读Skill</x:v>
      </x:c>
    </x:row>
    <x:row r="41" ht="54" customHeight="1">
      <x:c r="A41" s="26" t="str">
        <x:v>SK-037</x:v>
      </x:c>
      <x:c r="B41" s="27" t="str">
        <x:v>ci-pipeline-skill</x:v>
      </x:c>
      <x:c r="C41" s="27" t="str">
        <x:v>CI接入与流水线配置</x:v>
      </x:c>
      <x:c r="D41" s="27" t="str">
        <x:v>低阶Agent Skill</x:v>
      </x:c>
      <x:c r="E41" s="27" t="str">
        <x:v>④ Agent 能力与执行交付</x:v>
      </x:c>
      <x:c r="F41" s="27" t="str">
        <x:v>编码交付</x:v>
      </x:c>
      <x:c r="G41" s="27" t="str">
        <x:v>变更需要新增或调整CI门禁时</x:v>
      </x:c>
      <x:c r="H41" s="27" t="str">
        <x:v>生成或更新CI配置并接入测试、构建和扫描</x:v>
      </x:c>
      <x:c r="I41" s="27" t="str">
        <x:v>仓库配置、门禁规则、目标环境</x:v>
      </x:c>
      <x:c r="J41" s="27" t="str">
        <x:v>CI配置diff、运行结果</x:v>
      </x:c>
      <x:c r="K41" s="27" t="str">
        <x:v>Integrator</x:v>
      </x:c>
      <x:c r="L41" s="26" t="str">
        <x:v>规划</x:v>
      </x:c>
      <x:c r="M41" s="27" t="str">
        <x:v>不得发布生产、修改秘密或绕过既有门禁</x:v>
      </x:c>
      <x:c r="N41" s="27" t="str">
        <x:v>depends unit-test、coverage、security-scan</x:v>
      </x:c>
      <x:c r="O41" s="27" t="str">
        <x:v>流水线语法有效；门禁实际执行；失败阻断</x:v>
      </x:c>
      <x:c r="P41" s="27" t="str">
        <x:v>编码交付 skill 包</x:v>
      </x:c>
      <x:c r="Q41" s="27" t="str">
        <x:v>Integrator固定装配</x:v>
      </x:c>
    </x:row>
    <x:row r="42" ht="54" customHeight="1">
      <x:c r="A42" s="26" t="str">
        <x:v>SK-038</x:v>
      </x:c>
      <x:c r="B42" s="27" t="str">
        <x:v>migration-skill</x:v>
      </x:c>
      <x:c r="C42" s="27" t="str">
        <x:v>数据库迁移与回滚</x:v>
      </x:c>
      <x:c r="D42" s="27" t="str">
        <x:v>低阶Agent Skill</x:v>
      </x:c>
      <x:c r="E42" s="27" t="str">
        <x:v>④ Agent 能力与执行交付</x:v>
      </x:c>
      <x:c r="F42" s="27" t="str">
        <x:v>编码交付</x:v>
      </x:c>
      <x:c r="G42" s="27" t="str">
        <x:v>数据模型变化需要持久化变更时</x:v>
      </x:c>
      <x:c r="H42" s="27" t="str">
        <x:v>生成前向迁移、回滚脚本和数据校验</x:v>
      </x:c>
      <x:c r="I42" s="27" t="str">
        <x:v>模型变更、现有schema、兼容策略</x:v>
      </x:c>
      <x:c r="J42" s="27" t="str">
        <x:v>迁移脚本、回滚脚本、验证结果</x:v>
      </x:c>
      <x:c r="K42" s="27" t="str">
        <x:v>Integrator</x:v>
      </x:c>
      <x:c r="L42" s="26" t="str">
        <x:v>规划</x:v>
      </x:c>
      <x:c r="M42" s="27" t="str">
        <x:v>不得直接执行生产迁移；破坏性变更必须显式授权</x:v>
      </x:c>
      <x:c r="N42" s="27" t="str">
        <x:v>与 ci-pipeline-skill 组合</x:v>
      </x:c>
      <x:c r="O42" s="27" t="str">
        <x:v>空库/样例库迁移和回滚通过；数据约束保持</x:v>
      </x:c>
      <x:c r="P42" s="27" t="str">
        <x:v>编码交付 skill 包</x:v>
      </x:c>
      <x:c r="Q42" s="27" t="str">
        <x:v>生产执行仍由人工/发布流程控制</x:v>
      </x:c>
    </x:row>
    <x:row r="43" ht="54" customHeight="1">
      <x:c r="A43" s="26" t="str">
        <x:v>SK-039</x:v>
      </x:c>
      <x:c r="B43" s="27" t="str">
        <x:v>release-notes-skill</x:v>
      </x:c>
      <x:c r="C43" s="27" t="str">
        <x:v>发布说明生成</x:v>
      </x:c>
      <x:c r="D43" s="27" t="str">
        <x:v>低阶Agent Skill</x:v>
      </x:c>
      <x:c r="E43" s="27" t="str">
        <x:v>④ Agent 能力与执行交付</x:v>
      </x:c>
      <x:c r="F43" s="27" t="str">
        <x:v>编码交付</x:v>
      </x:c>
      <x:c r="G43" s="27" t="str">
        <x:v>集成完成、准备交付或发布评审时</x:v>
      </x:c>
      <x:c r="H43" s="27" t="str">
        <x:v>从已合并变更和证据生成结构化发布说明</x:v>
      </x:c>
      <x:c r="I43" s="27" t="str">
        <x:v>变更记录、WorkItem、测试和迁移信息</x:v>
      </x:c>
      <x:c r="J43" s="27" t="str">
        <x:v>release notes、风险和回滚提示</x:v>
      </x:c>
      <x:c r="K43" s="27" t="str">
        <x:v>Integrator</x:v>
      </x:c>
      <x:c r="L43" s="26" t="str">
        <x:v>部分实现</x:v>
      </x:c>
      <x:c r="M43" s="27" t="str">
        <x:v>不得宣称未验证功能已完成；不得遗漏破坏性变更</x:v>
      </x:c>
      <x:c r="N43" s="27" t="str">
        <x:v>依赖 traceability-skill、migration-skill</x:v>
      </x:c>
      <x:c r="O43" s="27" t="str">
        <x:v>每条说明可追溯到WorkItem和commit；风险/回滚齐全</x:v>
      </x:c>
      <x:c r="P43" s="27" t="str">
        <x:v>Skill绑定矩阵</x:v>
      </x:c>
      <x:c r="Q43" s="27" t="str">
        <x:v>导图只在绑定矩阵中提及，需补正式定义</x:v>
      </x:c>
    </x:row>
    <x:row r="44" ht="54" customHeight="1">
      <x:c r="A44" s="26" t="str">
        <x:v>SK-040</x:v>
      </x:c>
      <x:c r="B44" s="27" t="str">
        <x:v>anthropic/docx</x:v>
      </x:c>
      <x:c r="C44" s="27" t="str">
        <x:v>DOCX文档处理参考</x:v>
      </x:c>
      <x:c r="D44" s="27" t="str">
        <x:v>外部候选 Skill</x:v>
      </x:c>
      <x:c r="E44" s="27" t="str">
        <x:v>④ Agent 能力与执行交付</x:v>
      </x:c>
      <x:c r="F44" s="27" t="str">
        <x:v>外部候选</x:v>
      </x:c>
      <x:c r="G44" s="27" t="str">
        <x:v>内部文档Skill评测时作为候选实现</x:v>
      </x:c>
      <x:c r="H44" s="27" t="str">
        <x:v>提供复杂DOCX处理的官方示例结构</x:v>
      </x:c>
      <x:c r="I44" s="27" t="str">
        <x:v>DOCX任务与样例</x:v>
      </x:c>
      <x:c r="J44" s="27" t="str">
        <x:v>候选处理结果</x:v>
      </x:c>
      <x:c r="K44" s="27" t="str">
        <x:v>文档 Agent</x:v>
      </x:c>
      <x:c r="L44" s="26" t="str">
        <x:v>外部候选</x:v>
      </x:c>
      <x:c r="M44" s="27" t="str">
        <x:v>未安装、未批准、未调用；必须固定commit并完成内部评测</x:v>
      </x:c>
      <x:c r="N44" s="27" t="str">
        <x:v>可能补充 univer/document-asset-skill</x:v>
      </x:c>
      <x:c r="O44" s="27" t="str">
        <x:v>在固定数据集比较正确率、越权率、成本与延迟</x:v>
      </x:c>
      <x:c r="P44" s="27" t="str">
        <x:v>https://github.com/anthropics/skills</x:v>
      </x:c>
      <x:c r="Q44" s="27" t="str">
        <x:v>星数仅为2026-09-17发现信号</x:v>
      </x:c>
    </x:row>
    <x:row r="45" ht="54" customHeight="1">
      <x:c r="A45" s="26" t="str">
        <x:v>SK-041</x:v>
      </x:c>
      <x:c r="B45" s="27" t="str">
        <x:v>anthropic/pdf</x:v>
      </x:c>
      <x:c r="C45" s="27" t="str">
        <x:v>PDF处理参考</x:v>
      </x:c>
      <x:c r="D45" s="27" t="str">
        <x:v>外部候选 Skill</x:v>
      </x:c>
      <x:c r="E45" s="27" t="str">
        <x:v>④ Agent 能力与执行交付</x:v>
      </x:c>
      <x:c r="F45" s="27" t="str">
        <x:v>外部候选</x:v>
      </x:c>
      <x:c r="G45" s="27" t="str">
        <x:v>内部PDF能力评测时作为候选实现</x:v>
      </x:c>
      <x:c r="H45" s="27" t="str">
        <x:v>提供PDF读取、生成或校验的示例结构</x:v>
      </x:c>
      <x:c r="I45" s="27" t="str">
        <x:v>PDF任务与样例</x:v>
      </x:c>
      <x:c r="J45" s="27" t="str">
        <x:v>候选处理结果</x:v>
      </x:c>
      <x:c r="K45" s="27" t="str">
        <x:v>文档 Agent</x:v>
      </x:c>
      <x:c r="L45" s="26" t="str">
        <x:v>外部候选</x:v>
      </x:c>
      <x:c r="M45" s="27" t="str">
        <x:v>未安装、未批准、未调用；必须在沙箱评测</x:v>
      </x:c>
      <x:c r="N45" s="27" t="str">
        <x:v>可与 document-asset-skill 组合</x:v>
      </x:c>
      <x:c r="O45" s="27" t="str">
        <x:v>正常、无效、恶意PDF样例全部有预期结果</x:v>
      </x:c>
      <x:c r="P45" s="27" t="str">
        <x:v>https://github.com/anthropics/skills</x:v>
      </x:c>
      <x:c r="Q45" s="27" t="str">
        <x:v>星数仅为2026-09-17发现信号</x:v>
      </x:c>
    </x:row>
    <x:row r="46" ht="54" customHeight="1">
      <x:c r="A46" s="26" t="str">
        <x:v>SK-042</x:v>
      </x:c>
      <x:c r="B46" s="27" t="str">
        <x:v>anthropic/pptx</x:v>
      </x:c>
      <x:c r="C46" s="27" t="str">
        <x:v>PPTX处理参考</x:v>
      </x:c>
      <x:c r="D46" s="27" t="str">
        <x:v>外部候选 Skill</x:v>
      </x:c>
      <x:c r="E46" s="27" t="str">
        <x:v>④ Agent 能力与执行交付</x:v>
      </x:c>
      <x:c r="F46" s="27" t="str">
        <x:v>外部候选</x:v>
      </x:c>
      <x:c r="G46" s="27" t="str">
        <x:v>需要演示文稿能力时作为候选实现</x:v>
      </x:c>
      <x:c r="H46" s="27" t="str">
        <x:v>提供PPTX生成与编辑的复杂Skill结构参考</x:v>
      </x:c>
      <x:c r="I46" s="27" t="str">
        <x:v>PPTX任务与模板</x:v>
      </x:c>
      <x:c r="J46" s="27" t="str">
        <x:v>候选演示文稿</x:v>
      </x:c>
      <x:c r="K46" s="27" t="str">
        <x:v>文档/汇报 Agent</x:v>
      </x:c>
      <x:c r="L46" s="26" t="str">
        <x:v>外部候选</x:v>
      </x:c>
      <x:c r="M46" s="27" t="str">
        <x:v>未安装、未批准、未调用；不得绕过模板和文件边界</x:v>
      </x:c>
      <x:c r="N46" s="27" t="str">
        <x:v>可接发布/汇报流程</x:v>
      </x:c>
      <x:c r="O46" s="27" t="str">
        <x:v>模板保持、可打开、内容完整、无越权资源</x:v>
      </x:c>
      <x:c r="P46" s="27" t="str">
        <x:v>https://github.com/anthropics/skills</x:v>
      </x:c>
      <x:c r="Q46" s="27" t="str">
        <x:v>星数仅为2026-09-17发现信号</x:v>
      </x:c>
    </x:row>
    <x:row r="47" ht="54" customHeight="1">
      <x:c r="A47" s="26" t="str">
        <x:v>SK-043</x:v>
      </x:c>
      <x:c r="B47" s="27" t="str">
        <x:v>anthropic/xlsx</x:v>
      </x:c>
      <x:c r="C47" s="27" t="str">
        <x:v>XLSX处理参考</x:v>
      </x:c>
      <x:c r="D47" s="27" t="str">
        <x:v>外部候选 Skill</x:v>
      </x:c>
      <x:c r="E47" s="27" t="str">
        <x:v>④ Agent 能力与执行交付</x:v>
      </x:c>
      <x:c r="F47" s="27" t="str">
        <x:v>外部候选</x:v>
      </x:c>
      <x:c r="G47" s="27" t="str">
        <x:v>需要复杂表格能力时作为候选实现</x:v>
      </x:c>
      <x:c r="H47" s="27" t="str">
        <x:v>提供XLSX生成、编辑与校验的Skill结构参考</x:v>
      </x:c>
      <x:c r="I47" s="27" t="str">
        <x:v>表格任务、数据和模板</x:v>
      </x:c>
      <x:c r="J47" s="27" t="str">
        <x:v>候选工作簿</x:v>
      </x:c>
      <x:c r="K47" s="27" t="str">
        <x:v>数据/文档 Agent</x:v>
      </x:c>
      <x:c r="L47" s="26" t="str">
        <x:v>外部候选</x:v>
      </x:c>
      <x:c r="M47" s="27" t="str">
        <x:v>未安装、未批准、未调用；公式与源数据必须可审计</x:v>
      </x:c>
      <x:c r="N47" s="27" t="str">
        <x:v>可用于运营与验收报表</x:v>
      </x:c>
      <x:c r="O47" s="27" t="str">
        <x:v>公式无错误；关键结果可追溯；所有Sheet渲染检查</x:v>
      </x:c>
      <x:c r="P47" s="27" t="str">
        <x:v>https://github.com/anthropics/skills</x:v>
      </x:c>
      <x:c r="Q47" s="27" t="str">
        <x:v>星数仅为2026-09-17发现信号</x:v>
      </x:c>
    </x:row>
    <x:row r="48" ht="54" customHeight="1">
      <x:c r="A48" s="26" t="str">
        <x:v>SK-044</x:v>
      </x:c>
      <x:c r="B48" s="27" t="str">
        <x:v>anthropic/webapp-testing</x:v>
      </x:c>
      <x:c r="C48" s="27" t="str">
        <x:v>Web应用测试参考</x:v>
      </x:c>
      <x:c r="D48" s="27" t="str">
        <x:v>外部候选 Skill</x:v>
      </x:c>
      <x:c r="E48" s="27" t="str">
        <x:v>④ Agent 能力与执行交付</x:v>
      </x:c>
      <x:c r="F48" s="27" t="str">
        <x:v>外部候选</x:v>
      </x:c>
      <x:c r="G48" s="27" t="str">
        <x:v>评测端到端Web测试能力时</x:v>
      </x:c>
      <x:c r="H48" s="27" t="str">
        <x:v>提供浏览器交互、断言和失败证据的Skill结构参考</x:v>
      </x:c>
      <x:c r="I48" s="27" t="str">
        <x:v>站点、场景、账号与测试边界</x:v>
      </x:c>
      <x:c r="J48" s="27" t="str">
        <x:v>测试结果、截图和复现步骤</x:v>
      </x:c>
      <x:c r="K48" s="27" t="str">
        <x:v>Test Agent</x:v>
      </x:c>
      <x:c r="L48" s="26" t="str">
        <x:v>外部候选</x:v>
      </x:c>
      <x:c r="M48" s="27" t="str">
        <x:v>未安装、未批准、未调用；禁止超出授权站点与账号</x:v>
      </x:c>
      <x:c r="N48" s="27" t="str">
        <x:v>可补充 prototype-review-skill 和验收测试</x:v>
      </x:c>
      <x:c r="O48" s="27" t="str">
        <x:v>场景可重复；失败有截图/日志；无越权访问</x:v>
      </x:c>
      <x:c r="P48" s="27" t="str">
        <x:v>https://github.com/anthropics/skills</x:v>
      </x:c>
      <x:c r="Q48" s="27" t="str">
        <x:v>官方仓库示例，需内部staging</x:v>
      </x:c>
    </x:row>
    <x:row r="49" ht="54" customHeight="1">
      <x:c r="A49" s="26" t="str">
        <x:v>SK-045</x:v>
      </x:c>
      <x:c r="B49" s="27" t="str">
        <x:v>vercel/react-best-practices</x:v>
      </x:c>
      <x:c r="C49" s="27" t="str">
        <x:v>React最佳实践审查</x:v>
      </x:c>
      <x:c r="D49" s="27" t="str">
        <x:v>外部候选 Skill</x:v>
      </x:c>
      <x:c r="E49" s="27" t="str">
        <x:v>④ Agent 能力与执行交付</x:v>
      </x:c>
      <x:c r="F49" s="27" t="str">
        <x:v>外部候选</x:v>
      </x:c>
      <x:c r="G49" s="27" t="str">
        <x:v>firstFlight前端实现或review时评估</x:v>
      </x:c>
      <x:c r="H49" s="27" t="str">
        <x:v>检查React性能、组件结构和常见实现风险</x:v>
      </x:c>
      <x:c r="I49" s="27" t="str">
        <x:v>React代码、构建配置、性能目标</x:v>
      </x:c>
      <x:c r="J49" s="27" t="str">
        <x:v>建议、问题和证据</x:v>
      </x:c>
      <x:c r="K49" s="27" t="str">
        <x:v>Frontend Review Agent</x:v>
      </x:c>
      <x:c r="L49" s="26" t="str">
        <x:v>外部候选</x:v>
      </x:c>
      <x:c r="M49" s="27" t="str">
        <x:v>未安装、未批准、未调用；建议不能自动覆盖项目规范</x:v>
      </x:c>
      <x:c r="N49" s="27" t="str">
        <x:v>可与 code-review-skill 配对</x:v>
      </x:c>
      <x:c r="O49" s="27" t="str">
        <x:v>固定代码集上的问题检出率和误报率达标</x:v>
      </x:c>
      <x:c r="P49" s="27" t="str">
        <x:v>https://github.com/vercel-labs/agent-skills</x:v>
      </x:c>
      <x:c r="Q49" s="27" t="str">
        <x:v>约31.3k星为2026-09-17快照</x:v>
      </x:c>
    </x:row>
    <x:row r="50" ht="54" customHeight="1">
      <x:c r="A50" s="26" t="str">
        <x:v>SK-046</x:v>
      </x:c>
      <x:c r="B50" s="27" t="str">
        <x:v>vercel/web-design-guidelines</x:v>
      </x:c>
      <x:c r="C50" s="27" t="str">
        <x:v>前端UX与可访问性审查</x:v>
      </x:c>
      <x:c r="D50" s="27" t="str">
        <x:v>外部候选 Skill</x:v>
      </x:c>
      <x:c r="E50" s="27" t="str">
        <x:v>④ Agent 能力与执行交付</x:v>
      </x:c>
      <x:c r="F50" s="27" t="str">
        <x:v>外部候选</x:v>
      </x:c>
      <x:c r="G50" s="27" t="str">
        <x:v>页面或原型进入UX审查时评估</x:v>
      </x:c>
      <x:c r="H50" s="27" t="str">
        <x:v>检查视觉层级、可访问性、交互与Web设计规范</x:v>
      </x:c>
      <x:c r="I50" s="27" t="str">
        <x:v>页面、原型、设计约束</x:v>
      </x:c>
      <x:c r="J50" s="27" t="str">
        <x:v>UX问题、严重度和建议</x:v>
      </x:c>
      <x:c r="K50" s="27" t="str">
        <x:v>UI Review Agent</x:v>
      </x:c>
      <x:c r="L50" s="26" t="str">
        <x:v>外部候选</x:v>
      </x:c>
      <x:c r="M50" s="27" t="str">
        <x:v>未安装、未批准、未调用；不能替代已批准PRD和设计系统</x:v>
      </x:c>
      <x:c r="N50" s="27" t="str">
        <x:v>可与 prototype-review-skill 配对</x:v>
      </x:c>
      <x:c r="O50" s="27" t="str">
        <x:v>问题可定位到页面元素；与项目规范冲突时以项目规范为准</x:v>
      </x:c>
      <x:c r="P50" s="27" t="str">
        <x:v>https://github.com/vercel-labs/agent-skills</x:v>
      </x:c>
      <x:c r="Q50" s="27" t="str">
        <x:v>约31.3k星为2026-09-17快照</x:v>
      </x:c>
    </x:row>
  </x:sheetData>
  <x:conditionalFormatting sqref="L5:L50">
    <x:cfRule type="containsText" dxfId="4" priority="1" operator="containsText" text="已实现"/>
    <x:cfRule type="containsText" dxfId="5" priority="2" operator="containsText" text="部分实现"/>
    <x:cfRule type="containsText" dxfId="6" priority="3" operator="containsText" text="规划"/>
    <x:cfRule type="containsText" dxfId="7" priority="4" operator="containsText" text="外部候选"/>
  </x:conditionalFormatting>
  <x:dataValidations count="1">
    <x:dataValidation type="list" sqref="L5:L50">
      <x:formula1>"已实现,部分实现,规划,外部候选"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34c1023fe84430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30" hidden="0" customWidth="1"/>
    <x:col min="3" max="3" width="58" hidden="0" customWidth="1"/>
    <x:col min="4" max="4" width="36" hidden="0" customWidth="1"/>
    <x:col min="5" max="5" width="54" hidden="0" customWidth="1"/>
    <x:col min="6" max="6" width="48" hidden="0" customWidth="1"/>
  </x:cols>
  <x:sheetData>
    <x:row r="2">
      <x:c r="A2" s="2" t="str">
        <x:v>Agent 固定装配矩阵</x:v>
      </x:c>
      <x:c r="B2" s="3"/>
      <x:c r="C2" s="3"/>
      <x:c r="D2" s="3"/>
      <x:c r="E2" s="3"/>
      <x:c r="F2" s="3"/>
    </x:row>
    <x:row r="3">
      <x:c r="A3" s="4" t="str">
        <x:v>把Agent角色绑定到最小Skill集合、禁止动作和准出门禁，减少运行期自由选择。</x:v>
      </x:c>
    </x:row>
    <x:row r="4">
      <x:c r="A4" s="10" t="str">
        <x:v>Agent / 角色</x:v>
      </x:c>
      <x:c r="B4" s="21" t="str">
        <x:v>触发阶段</x:v>
      </x:c>
      <x:c r="C4" s="21" t="str">
        <x:v>固定 Skill 组合</x:v>
      </x:c>
      <x:c r="D4" s="21" t="str">
        <x:v>主要产物</x:v>
      </x:c>
      <x:c r="E4" s="21" t="str">
        <x:v>禁止动作 / 边界</x:v>
      </x:c>
      <x:c r="F4" s="11" t="str">
        <x:v>准出门禁</x:v>
      </x:c>
    </x:row>
    <x:row r="5" ht="60" customHeight="1">
      <x:c r="A5" s="27" t="str">
        <x:v>PRD作者</x:v>
      </x:c>
      <x:c r="B5" s="27" t="str">
        <x:v>需求澄清后</x:v>
      </x:c>
      <x:c r="C5" s="27" t="str">
        <x:v>pm-skills/create-prd + prd-consistency-skill</x:v>
      </x:c>
      <x:c r="D5" s="27" t="str">
        <x:v>PRD草案 / Block修订</x:v>
      </x:c>
      <x:c r="E5" s="27" t="str">
        <x:v>不得补造事实；假设显式标记</x:v>
      </x:c>
      <x:c r="F5" s="27" t="str">
        <x:v>prd-critique 独立复审；需求登记完整</x:v>
      </x:c>
    </x:row>
    <x:row r="6" ht="60" customHeight="1">
      <x:c r="A6" s="27" t="str">
        <x:v>PRD异议方</x:v>
      </x:c>
      <x:c r="B6" s="27" t="str">
        <x:v>PRD提交评审</x:v>
      </x:c>
      <x:c r="C6" s="27" t="str">
        <x:v>prd-critique + requirement-registry-skill + review-agent</x:v>
      </x:c>
      <x:c r="D6" s="27" t="str">
        <x:v>结构化异议 / 需求注册表</x:v>
      </x:c>
      <x:c r="E6" s="27" t="str">
        <x:v>只读；与作者隔离推理；不得礼貌放行</x:v>
      </x:c>
      <x:c r="F6" s="27" t="str">
        <x:v>异议逐条处置；编号、矛盾和范围无未决阻断</x:v>
      </x:c>
    </x:row>
    <x:row r="7" ht="60" customHeight="1">
      <x:c r="A7" s="27" t="str">
        <x:v>图表编排</x:v>
      </x:c>
      <x:c r="B7" s="27" t="str">
        <x:v>文档或架构需要图示</x:v>
      </x:c>
      <x:c r="C7" s="27" t="str">
        <x:v>drawing-skill → drawio / mermaid / graphviz / excalidraw</x:v>
      </x:c>
      <x:c r="D7" s="27" t="str">
        <x:v>可编辑图与资源引用</x:v>
      </x:c>
      <x:c r="E7" s="27" t="str">
        <x:v>路由固定；不能让Agent任意挑渲染器</x:v>
      </x:c>
      <x:c r="F7" s="27" t="str">
        <x:v>图可渲染/打开；关系与源数据一致</x:v>
      </x:c>
    </x:row>
    <x:row r="8" ht="60" customHeight="1">
      <x:c r="A8" s="27" t="str">
        <x:v>原型作者</x:v>
      </x:c>
      <x:c r="B8" s="27" t="str">
        <x:v>已保存PRD进入原型验证</x:v>
      </x:c>
      <x:c r="C8" s="27" t="str">
        <x:v>html-prototype-skill + document-asset-skill + univer</x:v>
      </x:c>
      <x:c r="D8" s="27" t="str">
        <x:v>可运行HTML原型</x:v>
      </x:c>
      <x:c r="E8" s="27" t="str">
        <x:v>不得把原型细节反写成已确认需求</x:v>
      </x:c>
      <x:c r="F8" s="27" t="str">
        <x:v>prototype-review-skill覆盖检查通过</x:v>
      </x:c>
    </x:row>
    <x:row r="9" ht="60" customHeight="1">
      <x:c r="A9" s="27" t="str">
        <x:v>原型异议方</x:v>
      </x:c>
      <x:c r="B9" s="27" t="str">
        <x:v>原型生成后</x:v>
      </x:c>
      <x:c r="C9" s="27" t="str">
        <x:v>prototype-review-skill + traceability-skill</x:v>
      </x:c>
      <x:c r="D9" s="27" t="str">
        <x:v>覆盖报告 / 冲突清单</x:v>
      </x:c>
      <x:c r="E9" s="27" t="str">
        <x:v>只读；不同Skill组合；与作者上下文隔离</x:v>
      </x:c>
      <x:c r="F9" s="27" t="str">
        <x:v>页面、状态、交互逐项映射PRD</x:v>
      </x:c>
    </x:row>
    <x:row r="10" ht="60" customHeight="1">
      <x:c r="A10" s="27" t="str">
        <x:v>架构作者</x:v>
      </x:c>
      <x:c r="B10" s="27" t="str">
        <x:v>PRD稳定后</x:v>
      </x:c>
      <x:c r="C10" s="27" t="str">
        <x:v>architecture-design-skill + drawio-skill</x:v>
      </x:c>
      <x:c r="D10" s="27" t="str">
        <x:v>架构方案 / ADR / 模块图</x:v>
      </x:c>
      <x:c r="E10" s="27" t="str">
        <x:v>不越过PRD决定产品细节</x:v>
      </x:c>
      <x:c r="F10" s="27" t="str">
        <x:v>arch-consistency + drawio架构校验</x:v>
      </x:c>
    </x:row>
    <x:row r="11" ht="60" customHeight="1">
      <x:c r="A11" s="27" t="str">
        <x:v>拆解Agent</x:v>
      </x:c>
      <x:c r="B11" s="27" t="str">
        <x:v>PRD和架构通过门禁</x:v>
      </x:c>
      <x:c r="C11" s="27" t="str">
        <x:v>planning-and-task-breakdown + acceptance-criteria-skill + traceability-skill</x:v>
      </x:c>
      <x:c r="D11" s="27" t="str">
        <x:v>WorkItem / AgentSpec输入</x:v>
      </x:c>
      <x:c r="E11" s="27" t="str">
        <x:v>门禁建依赖；里程碑不可做任务依赖</x:v>
      </x:c>
      <x:c r="F11" s="27" t="str">
        <x:v>独立复核器无阻断；映射完整</x:v>
      </x:c>
    </x:row>
    <x:row r="12" ht="60" customHeight="1">
      <x:c r="A12" s="27" t="str">
        <x:v>Coder</x:v>
      </x:c>
      <x:c r="B12" s="27" t="str">
        <x:v>AgentSpec准入通过</x:v>
      </x:c>
      <x:c r="C12" s="27" t="str">
        <x:v>code-implementation-skill + repo-context-skill + arch-consistency-skill</x:v>
      </x:c>
      <x:c r="D12" s="27" t="str">
        <x:v>源码diff / 完成声明</x:v>
      </x:c>
      <x:c r="E12" s="27" t="str">
        <x:v>仅allowed_paths；不改需求、冻结接口或未批准依赖</x:v>
      </x:c>
      <x:c r="F12" s="27" t="str">
        <x:v>构建和指定测试通过；diff在范围内</x:v>
      </x:c>
    </x:row>
    <x:row r="13" ht="60" customHeight="1">
      <x:c r="A13" s="27" t="str">
        <x:v>Test</x:v>
      </x:c>
      <x:c r="B13" s="27" t="str">
        <x:v>代码实现完成</x:v>
      </x:c>
      <x:c r="C13" s="27" t="str">
        <x:v>unit-test-skill + coverage-skill + acceptance-criteria-skill</x:v>
      </x:c>
      <x:c r="D13" s="27" t="str">
        <x:v>测试代码 / 结果 / 覆盖率</x:v>
      </x:c>
      <x:c r="E13" s="27" t="str">
        <x:v>不能删测、降阈值或伪造结果</x:v>
      </x:c>
      <x:c r="F13" s="27" t="str">
        <x:v>正反边界测试通过；覆盖率达标</x:v>
      </x:c>
    </x:row>
    <x:row r="14" ht="60" customHeight="1">
      <x:c r="A14" s="27" t="str">
        <x:v>Review</x:v>
      </x:c>
      <x:c r="B14" s="27" t="str">
        <x:v>提交或UT完成</x:v>
      </x:c>
      <x:c r="C14" s="27" t="str">
        <x:v>code-review-skill + review-agent + security-scan-skill</x:v>
      </x:c>
      <x:c r="D14" s="27" t="str">
        <x:v>findings / 安全报告</x:v>
      </x:c>
      <x:c r="E14" s="27" t="str">
        <x:v>只读；与Coder不同Skill和后端；不能自批</x:v>
      </x:c>
      <x:c r="F14" s="27" t="str">
        <x:v>阻断finding关闭；高危安全项清零</x:v>
      </x:c>
    </x:row>
    <x:row r="15" ht="60" customHeight="1">
      <x:c r="A15" s="27" t="str">
        <x:v>Repair</x:v>
      </x:c>
      <x:c r="B15" s="27" t="str">
        <x:v>构建或静态检查失败</x:v>
      </x:c>
      <x:c r="C15" s="27" t="str">
        <x:v>build-and-fix-skill + refactor-skill</x:v>
      </x:c>
      <x:c r="D15" s="27" t="str">
        <x:v>最小修复diff / 重跑结果</x:v>
      </x:c>
      <x:c r="E15" s="27" t="str">
        <x:v>有界轮次；不改测试；不扩大scope</x:v>
      </x:c>
      <x:c r="F15" s="27" t="str">
        <x:v>原错误消失且无新增错误，否则转人工</x:v>
      </x:c>
    </x:row>
    <x:row r="16" ht="60" customHeight="1">
      <x:c r="A16" s="27" t="str">
        <x:v>Integrator</x:v>
      </x:c>
      <x:c r="B16" s="27" t="str">
        <x:v>Review和测试均通过</x:v>
      </x:c>
      <x:c r="C16" s="27" t="str">
        <x:v>ci-pipeline-skill + migration-skill + release-notes-skill</x:v>
      </x:c>
      <x:c r="D16" s="27" t="str">
        <x:v>CI配置 / 迁移 / 发布说明</x:v>
      </x:c>
      <x:c r="E16" s="27" t="str">
        <x:v>不执行生产发布；不修改秘密或绕过门禁</x:v>
      </x:c>
      <x:c r="F16" s="27" t="str">
        <x:v>CI通过；迁移可回滚；说明可追溯</x:v>
      </x:c>
    </x:row>
  </x:sheetData>
  <x:pageMargins left="0.7" right="0.7" top="0.75" bottom="0.75" header="0.3" footer="0.3"/>
  <x:tableParts count="1">
    <x:tablePart xmlns:r="http://schemas.openxmlformats.org/officeDocument/2006/relationships" r:id="R0170ac709200476c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80" hidden="0" customWidth="1"/>
    <x:col min="4" max="4" width="54" hidden="0" customWidth="1"/>
    <x:col min="5" max="5" width="16" hidden="0" customWidth="1"/>
  </x:cols>
  <x:sheetData>
    <x:row r="2">
      <x:c r="A2" s="2" t="str">
        <x:v>Skill治理与准入规则</x:v>
      </x:c>
      <x:c r="B2" s="3"/>
      <x:c r="C2" s="3"/>
      <x:c r="D2" s="3"/>
      <x:c r="E2" s="3"/>
    </x:row>
    <x:row r="3">
      <x:c r="A3" s="4" t="str">
        <x:v>这些条目不是普通Skill，而是注册、装配、运行、评测和证据层的强制约束。</x:v>
      </x:c>
    </x:row>
    <x:row r="4">
      <x:c r="A4" s="10" t="str">
        <x:v>规则</x:v>
      </x:c>
      <x:c r="B4" s="21" t="str">
        <x:v>机制 / 依据</x:v>
      </x:c>
      <x:c r="C4" s="21" t="str">
        <x:v>要求</x:v>
      </x:c>
      <x:c r="D4" s="21" t="str">
        <x:v>阻断或验收</x:v>
      </x:c>
      <x:c r="E4" s="11" t="str">
        <x:v>当前状态</x:v>
      </x:c>
    </x:row>
    <x:row r="5" ht="48" customHeight="1">
      <x:c r="A5" s="27" t="str">
        <x:v>自主性预算</x:v>
      </x:c>
      <x:c r="B5" s="27" t="str">
        <x:v>Autonomy Budget</x:v>
      </x:c>
      <x:c r="C5" s="27" t="str">
        <x:v>按任务限制token、时长、工具调用、文件数、修复轮次和并行度</x:v>
      </x:c>
      <x:c r="D5" s="27" t="str">
        <x:v>超限立即BLOCKED并转人工</x:v>
      </x:c>
      <x:c r="E5" s="27" t="str">
        <x:v>规划</x:v>
      </x:c>
    </x:row>
    <x:row r="6" ht="48" customHeight="1">
      <x:c r="A6" s="27" t="str">
        <x:v>动作风险分级</x:v>
      </x:c>
      <x:c r="B6" s="27" t="str">
        <x:v>Action Risk Matrix</x:v>
      </x:c>
      <x:c r="C6" s="27" t="str">
        <x:v>只读可自动；项目内可逆写入需合同覆盖；外部写入/发布/签字/付费/删历史需显式授权</x:v>
      </x:c>
      <x:c r="D6" s="27" t="str">
        <x:v>未授权动作由策略层拒绝</x:v>
      </x:c>
      <x:c r="E6" s="27" t="str">
        <x:v>部分实现</x:v>
      </x:c>
    </x:row>
    <x:row r="7" ht="48" customHeight="1">
      <x:c r="A7" s="27" t="str">
        <x:v>失败即关闭</x:v>
      </x:c>
      <x:c r="B7" s="27" t="str">
        <x:v>Fail Closed</x:v>
      </x:c>
      <x:c r="C7" s="27" t="str">
        <x:v>需求矛盾、证据不足、路径越界、Skill缺失、checksum不符、测试不稳定或连续失败即停</x:v>
      </x:c>
      <x:c r="D7" s="27" t="str">
        <x:v>停止原因写入AgentCall</x:v>
      </x:c>
      <x:c r="E7" s="27" t="str">
        <x:v>部分实现</x:v>
      </x:c>
    </x:row>
    <x:row r="8" ht="48" customHeight="1">
      <x:c r="A8" s="27" t="str">
        <x:v>范围防火墙</x:v>
      </x:c>
      <x:c r="B8" s="27" t="str">
        <x:v>Scope Firewall</x:v>
      </x:c>
      <x:c r="C8" s="27" t="str">
        <x:v>触碰exclusions、frozen interface或未批准依赖时只能提交变更请求</x:v>
      </x:c>
      <x:c r="D8" s="27" t="str">
        <x:v>范围外diff为阻断项</x:v>
      </x:c>
      <x:c r="E8" s="27" t="str">
        <x:v>部分实现</x:v>
      </x:c>
    </x:row>
    <x:row r="9" ht="48" customHeight="1">
      <x:c r="A9" s="27" t="str">
        <x:v>受控降级</x:v>
      </x:c>
      <x:c r="B9" s="27" t="str">
        <x:v>Controlled Fallback</x:v>
      </x:c>
      <x:c r="C9" s="27" t="str">
        <x:v>外部Skill不可用时只允许批准的等价版本或转人工</x:v>
      </x:c>
      <x:c r="D9" s="27" t="str">
        <x:v>禁止退回无Skill自由发挥</x:v>
      </x:c>
      <x:c r="E9" s="27" t="str">
        <x:v>规划</x:v>
      </x:c>
    </x:row>
    <x:row r="10" ht="48" customHeight="1">
      <x:c r="A10" s="27" t="str">
        <x:v>来源白名单</x:v>
      </x:c>
      <x:c r="B10" s="27" t="str">
        <x:v>Registry Allowlist</x:v>
      </x:c>
      <x:c r="C10" s="27" t="str">
        <x:v>只接受批准的HTTPS仓库和明确entry path</x:v>
      </x:c>
      <x:c r="D10" s="27" t="str">
        <x:v>运行中禁止从任意URL动态安装</x:v>
      </x:c>
      <x:c r="E10" s="27" t="str">
        <x:v>规划</x:v>
      </x:c>
    </x:row>
    <x:row r="11" ht="48" customHeight="1">
      <x:c r="A11" s="27" t="str">
        <x:v>版本锁定</x:v>
      </x:c>
      <x:c r="B11" s="27" t="str">
        <x:v>Commit + Checksum</x:v>
      </x:c>
      <x:c r="C11" s="27" t="str">
        <x:v>记录40位commit SHA和SHA-256 tree checksum</x:v>
      </x:c>
      <x:c r="D11" s="27" t="str">
        <x:v>main/latest/浮动tag拒绝准入</x:v>
      </x:c>
      <x:c r="E11" s="27" t="str">
        <x:v>规划</x:v>
      </x:c>
    </x:row>
    <x:row r="12" ht="48" customHeight="1">
      <x:c r="A12" s="27" t="str">
        <x:v>来源证据</x:v>
      </x:c>
      <x:c r="B12" s="27" t="str">
        <x:v>SkillManifest</x:v>
      </x:c>
      <x:c r="C12" s="27" t="str">
        <x:v>记录作者、许可证、提交时间、活跃度、星数快照、风险和审核人</x:v>
      </x:c>
      <x:c r="D12" s="27" t="str">
        <x:v>缺任一必填字段不得进入REVIEWED</x:v>
      </x:c>
      <x:c r="E12" s="27" t="str">
        <x:v>规划</x:v>
      </x:c>
    </x:row>
    <x:row r="13" ht="48" customHeight="1">
      <x:c r="A13" s="27" t="str">
        <x:v>内容静态审查</x:v>
      </x:c>
      <x:c r="B13" s="27" t="str">
        <x:v>Pre-install Review</x:v>
      </x:c>
      <x:c r="C13" s="27" t="str">
        <x:v>完整读取SKILL.md、scripts和references，拒绝越界symlink、submodule、.git修改、隐式联网和秘密读取</x:v>
      </x:c>
      <x:c r="D13" s="27" t="str">
        <x:v>发现危险行为进入REVOKED或人工复核</x:v>
      </x:c>
      <x:c r="E13" s="27" t="str">
        <x:v>规划</x:v>
      </x:c>
    </x:row>
    <x:row r="14" ht="48" customHeight="1">
      <x:c r="A14" s="27" t="str">
        <x:v>准入状态机</x:v>
      </x:c>
      <x:c r="B14" s="27" t="str">
        <x:v>Admission Lifecycle</x:v>
      </x:c>
      <x:c r="C14" s="27" t="str">
        <x:v>DISCOVERED→QUARANTINED→REVIEWED→EVALUATED→APPROVED→DEPRECATED/REVOKED</x:v>
      </x:c>
      <x:c r="D14" s="27" t="str">
        <x:v>只有APPROVED可被运行时解析</x:v>
      </x:c>
      <x:c r="E14" s="27" t="str">
        <x:v>规划</x:v>
      </x:c>
    </x:row>
    <x:row r="15" ht="48" customHeight="1">
      <x:c r="A15" s="27" t="str">
        <x:v>原子安装</x:v>
      </x:c>
      <x:c r="B15" s="27" t="str">
        <x:v>Atomic Install</x:v>
      </x:c>
      <x:c r="C15" s="27" t="str">
        <x:v>staging校验许可证、入口、commit和checksum后再写skill_store</x:v>
      </x:c>
      <x:c r="D15" s="27" t="str">
        <x:v>失败不留半成品</x:v>
      </x:c>
      <x:c r="E15" s="27" t="str">
        <x:v>规划</x:v>
      </x:c>
    </x:row>
    <x:row r="16" ht="48" customHeight="1">
      <x:c r="A16" s="27" t="str">
        <x:v>能力契约</x:v>
      </x:c>
      <x:c r="B16" s="27" t="str">
        <x:v>Skill Capability Contract</x:v>
      </x:c>
      <x:c r="C16" s="27" t="str">
        <x:v>声明capability、阶段、触发、I/O schema、前置条件、失败码、副作用和验收脚本</x:v>
      </x:c>
      <x:c r="D16" s="27" t="str">
        <x:v>契约缺失不得装配</x:v>
      </x:c>
      <x:c r="E16" s="27" t="str">
        <x:v>规划</x:v>
      </x:c>
    </x:row>
    <x:row r="17" ht="48" customHeight="1">
      <x:c r="A17" s="27" t="str">
        <x:v>最小装配</x:v>
      </x:c>
      <x:c r="B17" s="27" t="str">
        <x:v>Least Skill Principle</x:v>
      </x:c>
      <x:c r="C17" s="27" t="str">
        <x:v>每个Agent只拿当前SubWorkItem所需Skill子集，目录只读</x:v>
      </x:c>
      <x:c r="D17" s="27" t="str">
        <x:v>额外Skill不可见、不可调用</x:v>
      </x:c>
      <x:c r="E17" s="27" t="str">
        <x:v>规划</x:v>
      </x:c>
    </x:row>
    <x:row r="18" ht="48" customHeight="1">
      <x:c r="A18" s="27" t="str">
        <x:v>组合冲突</x:v>
      </x:c>
      <x:c r="B18" s="27" t="str">
        <x:v>requires / conflicts_with / order</x:v>
      </x:c>
      <x:c r="C18" s="27" t="str">
        <x:v>声明依赖、互斥和顺序</x:v>
      </x:c>
      <x:c r="D18" s="27" t="str">
        <x:v>冲突时拒绝调度，不让模型自行二选一</x:v>
      </x:c>
      <x:c r="E18" s="27" t="str">
        <x:v>规划</x:v>
      </x:c>
    </x:row>
    <x:row r="19" ht="48" customHeight="1">
      <x:c r="A19" s="27" t="str">
        <x:v>工具与数据分权</x:v>
      </x:c>
      <x:c r="B19" s="27" t="str">
        <x:v>Policy Enforcement Point</x:v>
      </x:c>
      <x:c r="C19" s="27" t="str">
        <x:v>Skill只建议工具；allowed_tools、allowed_paths和network_policy由外部策略裁决</x:v>
      </x:c>
      <x:c r="D19" s="27" t="str">
        <x:v>越权调用由Runtime硬拒绝</x:v>
      </x:c>
      <x:c r="E19" s="27" t="str">
        <x:v>部分实现</x:v>
      </x:c>
    </x:row>
    <x:row r="20" ht="48" customHeight="1">
      <x:c r="A20" s="27" t="str">
        <x:v>结构化完成声明</x:v>
      </x:c>
      <x:c r="B20" s="27" t="str">
        <x:v>Completion Claim</x:v>
      </x:c>
      <x:c r="C20" s="27" t="str">
        <x:v>产物、diff、测试命令/结果、日志、hash和未决项按schema返回</x:v>
      </x:c>
      <x:c r="D20" s="27" t="str">
        <x:v>自由文本不能单独证明完成</x:v>
      </x:c>
      <x:c r="E20" s="27" t="str">
        <x:v>部分实现</x:v>
      </x:c>
    </x:row>
    <x:row r="21" ht="48" customHeight="1">
      <x:c r="A21" s="27" t="str">
        <x:v>黄金与反例集</x:v>
      </x:c>
      <x:c r="B21" s="27" t="str">
        <x:v>Skill Eval Pack</x:v>
      </x:c>
      <x:c r="C21" s="27" t="str">
        <x:v>覆盖正常、无效、边界和恶意输入</x:v>
      </x:c>
      <x:c r="D21" s="27" t="str">
        <x:v>没有失败预期的Skill不得进入评测</x:v>
      </x:c>
      <x:c r="E21" s="27" t="str">
        <x:v>规划</x:v>
      </x:c>
    </x:row>
    <x:row r="22" ht="48" customHeight="1">
      <x:c r="A22" s="27" t="str">
        <x:v>离线回归对比</x:v>
      </x:c>
      <x:c r="B22" s="27" t="str">
        <x:v>Regression Harness</x:v>
      </x:c>
      <x:c r="C22" s="27" t="str">
        <x:v>候选与批准版在同一数据集比较正确率、越权率、成本、延迟和人工介入率</x:v>
      </x:c>
      <x:c r="D22" s="27" t="str">
        <x:v>劣于基线不准发布</x:v>
      </x:c>
      <x:c r="E22" s="27" t="str">
        <x:v>规划</x:v>
      </x:c>
    </x:row>
    <x:row r="23" ht="48" customHeight="1">
      <x:c r="A23" s="27" t="str">
        <x:v>隔离安全测试</x:v>
      </x:c>
      <x:c r="B23" s="27" t="str">
        <x:v>8DP Isolation Tests</x:v>
      </x:c>
      <x:c r="C23" s="27" t="str">
        <x:v>测试prompt injection、路径穿越、symlink escape、网络尝试、秘密读取、未授权Skill和.git修改</x:v>
      </x:c>
      <x:c r="D23" s="27" t="str">
        <x:v>任一越权成功即阻断</x:v>
      </x:c>
      <x:c r="E23" s="27" t="str">
        <x:v>规划</x:v>
      </x:c>
    </x:row>
    <x:row r="24" ht="48" customHeight="1">
      <x:c r="A24" s="27" t="str">
        <x:v>影子与金丝雀</x:v>
      </x:c>
      <x:c r="B24" s="27" t="str">
        <x:v>Safe Rollout</x:v>
      </x:c>
      <x:c r="C24" s="27" t="str">
        <x:v>先影子运行，再小流量canary</x:v>
      </x:c>
      <x:c r="D24" s="27" t="str">
        <x:v>指标劣化自动回滚到上一批准commit</x:v>
      </x:c>
      <x:c r="E24" s="27" t="str">
        <x:v>规划</x:v>
      </x:c>
    </x:row>
    <x:row r="25" ht="48" customHeight="1">
      <x:c r="A25" s="27" t="str">
        <x:v>漂移重评</x:v>
      </x:c>
      <x:c r="B25" s="27" t="str">
        <x:v>Re-evaluation Gate</x:v>
      </x:c>
      <x:c r="C25" s="27" t="str">
        <x:v>模型、依赖、Skill或规则hash变化即触发重评</x:v>
      </x:c>
      <x:c r="D25" s="27" t="str">
        <x:v>未重评版本停止解析</x:v>
      </x:c>
      <x:c r="E25" s="27" t="str">
        <x:v>规划</x:v>
      </x:c>
    </x:row>
    <x:row r="26" ht="48" customHeight="1">
      <x:c r="A26" s="27" t="str">
        <x:v>L1 Skill流程层</x:v>
      </x:c>
      <x:c r="B26" s="27" t="str">
        <x:v>Soft Procedure</x:v>
      </x:c>
      <x:c r="C26" s="27" t="str">
        <x:v>明确步骤、模板、检查单与失败处理</x:v>
      </x:c>
      <x:c r="D26" s="27" t="str">
        <x:v>只有目标没有过程视为不合格Skill</x:v>
      </x:c>
      <x:c r="E26" s="27" t="str">
        <x:v>部分实现</x:v>
      </x:c>
    </x:row>
    <x:row r="27" ht="48" customHeight="1">
      <x:c r="A27" s="27" t="str">
        <x:v>L2 AgentSpec合同层</x:v>
      </x:c>
      <x:c r="B27" s="27" t="str">
        <x:v>Execution Contract</x:v>
      </x:c>
      <x:c r="C27" s="27" t="str">
        <x:v>固定objective、scope、exclusions、inputs、outputs、required_skills、tools、paths、tests和evidence</x:v>
      </x:c>
      <x:c r="D27" s="27" t="str">
        <x:v>合同外动作不得执行</x:v>
      </x:c>
      <x:c r="E27" s="27" t="str">
        <x:v>部分实现</x:v>
      </x:c>
    </x:row>
    <x:row r="28" ht="48" customHeight="1">
      <x:c r="A28" s="27" t="str">
        <x:v>L3 Runtime强制层</x:v>
      </x:c>
      <x:c r="B28" s="27" t="str">
        <x:v>Hard Sandbox</x:v>
      </x:c>
      <x:c r="C28" s="27" t="str">
        <x:v>独立worktree/进程、workspace-write、默认断网、Skill只读挂载</x:v>
      </x:c>
      <x:c r="D28" s="27" t="str">
        <x:v>越权路径直接拒绝</x:v>
      </x:c>
      <x:c r="E28" s="27" t="str">
        <x:v>部分实现</x:v>
      </x:c>
    </x:row>
    <x:row r="29" ht="48" customHeight="1">
      <x:c r="A29" s="27" t="str">
        <x:v>L4 Gate证据层</x:v>
      </x:c>
      <x:c r="B29" s="27" t="str">
        <x:v>Evidence Gate</x:v>
      </x:c>
      <x:c r="C29" s="27" t="str">
        <x:v>确定性校验优先、语义评审其次、人工处理歧义和高风险</x:v>
      </x:c>
      <x:c r="D29" s="27" t="str">
        <x:v>Worker不能自批、自合并、自关闭</x:v>
      </x:c>
      <x:c r="E29" s="27" t="str">
        <x:v>部分实现</x:v>
      </x:c>
    </x:row>
  </x:sheetData>
  <x:conditionalFormatting sqref="E5:E29">
    <x:cfRule type="containsText" dxfId="8" priority="1" operator="containsText" text="已实现"/>
    <x:cfRule type="containsText" dxfId="9" priority="2" operator="containsText" text="部分实现"/>
    <x:cfRule type="containsText" dxfId="10" priority="3" operator="containsText" text="规划"/>
    <x:cfRule type="containsText" dxfId="11" priority="4" operator="containsText" text="外部候选"/>
  </x:conditionalFormatting>
  <x:pageMargins left="0.7" right="0.7" top="0.75" bottom="0.75" header="0.3" footer="0.3"/>
  <x:tableParts count="1">
    <x:tablePart xmlns:r="http://schemas.openxmlformats.org/officeDocument/2006/relationships" r:id="R1ad94889fbe04861"/>
  </x:tableParts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52" hidden="0" customWidth="1"/>
    <x:col min="3" max="3" width="18" hidden="0" customWidth="1"/>
    <x:col min="4" max="4" width="16" hidden="0" customWidth="1"/>
    <x:col min="5" max="5" width="22" hidden="0" customWidth="1"/>
    <x:col min="6" max="6" width="46" hidden="0" customWidth="1"/>
    <x:col min="7" max="7" width="62" hidden="0" customWidth="1"/>
    <x:col min="8" max="8" width="28" hidden="0" customWidth="1"/>
  </x:cols>
  <x:sheetData>
    <x:row r="2">
      <x:c r="A2" s="2" t="str">
        <x:v>外部候选与来源快照</x:v>
      </x:c>
      <x:c r="B2" s="3"/>
      <x:c r="C2" s="3"/>
      <x:c r="D2" s="3"/>
      <x:c r="E2" s="3"/>
      <x:c r="F2" s="3"/>
      <x:c r="G2" s="3"/>
      <x:c r="H2" s="3"/>
    </x:row>
    <x:row r="3">
      <x:c r="A3" s="4" t="str">
        <x:v>星数只用于发现和排序，不能替代许可证、代码审查、固定版本、隔离评测和内部批准。</x:v>
      </x:c>
    </x:row>
    <x:row r="4">
      <x:c r="A4" s="10" t="str">
        <x:v>仓库 / 来源</x:v>
      </x:c>
      <x:c r="B4" s="21" t="str">
        <x:v>URL</x:v>
      </x:c>
      <x:c r="C4" s="21" t="str">
        <x:v>星数快照（约）</x:v>
      </x:c>
      <x:c r="D4" s="21" t="str">
        <x:v>快照日期</x:v>
      </x:c>
      <x:c r="E4" s="21" t="str">
        <x:v>性质</x:v>
      </x:c>
      <x:c r="F4" s="21" t="str">
        <x:v>导图点名能力</x:v>
      </x:c>
      <x:c r="G4" s="21" t="str">
        <x:v>适用判断</x:v>
      </x:c>
      <x:c r="H4" s="11" t="str">
        <x:v>准入状态</x:v>
      </x:c>
    </x:row>
    <x:row r="5" ht="54" customHeight="1">
      <x:c r="A5" s="27" t="str">
        <x:v>Anthropic / skills</x:v>
      </x:c>
      <x:c r="B5" s="27" t="str">
        <x:v>https://github.com/anthropics/skills</x:v>
      </x:c>
      <x:c r="C5" s="28" t="n">
        <x:v>176700</x:v>
      </x:c>
      <x:c r="D5" s="29" t="n">
        <x:v>46282</x:v>
      </x:c>
      <x:c r="E5" s="27" t="str">
        <x:v>官方示例</x:v>
      </x:c>
      <x:c r="F5" s="27" t="str">
        <x:v>DOCX、PDF、PPTX、XLSX、webapp-testing</x:v>
      </x:c>
      <x:c r="G5" s="27" t="str">
        <x:v>适合作为复杂Skill结构参考；关键任务前需充分测试</x:v>
      </x:c>
      <x:c r="H5" s="27" t="str">
        <x:v>候选，未安装/未批准</x:v>
      </x:c>
    </x:row>
    <x:row r="6" ht="54" customHeight="1">
      <x:c r="A6" s="27" t="str">
        <x:v>Vercel Labs / agent-skills</x:v>
      </x:c>
      <x:c r="B6" s="27" t="str">
        <x:v>https://github.com/vercel-labs/agent-skills</x:v>
      </x:c>
      <x:c r="C6" s="28" t="n">
        <x:v>31300</x:v>
      </x:c>
      <x:c r="D6" s="29" t="n">
        <x:v>46282</x:v>
      </x:c>
      <x:c r="E6" s="27" t="str">
        <x:v>官方维护</x:v>
      </x:c>
      <x:c r="F6" s="27" t="str">
        <x:v>react-best-practices、web-design-guidelines</x:v>
      </x:c>
      <x:c r="G6" s="27" t="str">
        <x:v>前端性能、可访问性和UX review候选</x:v>
      </x:c>
      <x:c r="H6" s="27" t="str">
        <x:v>候选，未安装/未批准</x:v>
      </x:c>
    </x:row>
    <x:row r="7" ht="54" customHeight="1">
      <x:c r="A7" s="27" t="str">
        <x:v>Vercel Labs / skills CLI</x:v>
      </x:c>
      <x:c r="B7" s="27" t="str">
        <x:v>https://github.com/vercel-labs/skills</x:v>
      </x:c>
      <x:c r="C7" s="28" t="n">
        <x:v>31800</x:v>
      </x:c>
      <x:c r="D7" s="29" t="n">
        <x:v>46282</x:v>
      </x:c>
      <x:c r="E7" s="27" t="str">
        <x:v>CLI / 发现工具</x:v>
      </x:c>
      <x:c r="F7" s="27" t="str">
        <x:v>多Agent Skill格式发现与解析</x:v>
      </x:c>
      <x:c r="G7" s="27" t="str">
        <x:v>生产安装仍需内部staging和不可变注册表</x:v>
      </x:c>
      <x:c r="H7" s="27" t="str">
        <x:v>候选工具，未批准</x:v>
      </x:c>
    </x:row>
    <x:row r="8" ht="54" customHeight="1">
      <x:c r="A8" s="27" t="str">
        <x:v>OpenAI / skills</x:v>
      </x:c>
      <x:c r="B8" s="27" t="str">
        <x:v>https://github.com/openai/skills</x:v>
      </x:c>
      <x:c r="C8" s="28" t="n">
        <x:v>27400</x:v>
      </x:c>
      <x:c r="D8" s="29" t="n">
        <x:v>46282</x:v>
      </x:c>
      <x:c r="E8" s="27" t="str">
        <x:v>历史参考</x:v>
      </x:c>
      <x:c r="F8" s="27" t="str">
        <x:v>旧版Skill示例</x:v>
      </x:c>
      <x:c r="G8" s="27" t="str">
        <x:v>仓库已标记deprecated；新示例跟随openai/plugins与官方文档</x:v>
      </x:c>
      <x:c r="H8" s="27" t="str">
        <x:v>历史参考，不建议新接入</x:v>
      </x:c>
    </x:row>
  </x:sheetData>
  <x:pageMargins left="0.7" right="0.7" top="0.75" bottom="0.75" header="0.3" footer="0.3"/>
  <x:tableParts count="1">
    <x:tablePart xmlns:r="http://schemas.openxmlformats.org/officeDocument/2006/relationships" r:id="R62f584ef21ee4350"/>
  </x:tableParts>
</x:worksheet>
</file>